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trol" sheetId="2" state="visible" r:id="rId2"/>
    <sheet name="Assumptions" sheetId="3" state="visible" r:id="rId3"/>
    <sheet name="Model" sheetId="4" state="visible" r:id="rId4"/>
    <sheet name="Formula Audit" sheetId="5" state="visible" r:id="rId5"/>
    <sheet name="Structure" sheetId="6" state="visible" r:id="rId6"/>
    <sheet name="Check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-* #,##0_-;_-* &quot;-&quot;_-;_-@_-"/>
    <numFmt numFmtId="165" formatCode="0.0%"/>
    <numFmt numFmtId="166" formatCode="0.000000"/>
  </numFmts>
  <fonts count="7">
    <font>
      <name val="Calibri"/>
      <family val="2"/>
      <color theme="1"/>
      <sz val="11"/>
      <scheme val="minor"/>
    </font>
    <font>
      <name val="Calibri"/>
      <b val="1"/>
      <color rgb="001E2185"/>
      <sz val="13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C1C1C"/>
      <sz val="10"/>
    </font>
    <font>
      <name val="Calibri"/>
      <color rgb="001C1C1C"/>
      <sz val="10"/>
    </font>
    <font>
      <name val="Calibri"/>
      <color rgb="001F4E9C"/>
      <sz val="10"/>
    </font>
  </fonts>
  <fills count="6">
    <fill>
      <patternFill/>
    </fill>
    <fill>
      <patternFill patternType="gray125"/>
    </fill>
    <fill>
      <patternFill patternType="solid">
        <fgColor rgb="001E2185"/>
      </patternFill>
    </fill>
    <fill>
      <patternFill patternType="solid">
        <fgColor rgb="00EFEFF2"/>
      </patternFill>
    </fill>
    <fill>
      <patternFill patternType="solid">
        <fgColor rgb="00EDF3FF"/>
      </patternFill>
    </fill>
    <fill>
      <patternFill patternType="solid">
        <fgColor rgb="00DFE8FF"/>
      </patternFill>
    </fill>
  </fills>
  <borders count="2">
    <border>
      <left/>
      <right/>
      <top/>
      <bottom/>
      <diagonal/>
    </border>
    <border>
      <bottom style="thin">
        <color rgb="00D8DCE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6" fillId="3" borderId="0" pivotButton="0" quotePrefix="0" xfId="0"/>
    <xf numFmtId="164" fontId="6" fillId="0" borderId="0" pivotButton="0" quotePrefix="0" xfId="0"/>
    <xf numFmtId="0" fontId="2" fillId="0" borderId="0" applyAlignment="1" pivotButton="0" quotePrefix="0" xfId="0">
      <alignment vertical="top" wrapText="1"/>
    </xf>
    <xf numFmtId="165" fontId="6" fillId="3" borderId="0" pivotButton="0" quotePrefix="0" xfId="0"/>
    <xf numFmtId="165" fontId="6" fillId="0" borderId="0" pivotButton="0" quotePrefix="0" xfId="0"/>
    <xf numFmtId="164" fontId="5" fillId="5" borderId="1" pivotButton="0" quotePrefix="0" xfId="0"/>
    <xf numFmtId="0" fontId="4" fillId="0" borderId="0" applyAlignment="1" pivotButton="0" quotePrefix="0" xfId="0">
      <alignment indent="1"/>
    </xf>
    <xf numFmtId="164" fontId="5" fillId="3" borderId="1" pivotButton="0" quotePrefix="0" xfId="0"/>
    <xf numFmtId="164" fontId="5" fillId="0" borderId="1" pivotButton="0" quotePrefix="0" xfId="0"/>
    <xf numFmtId="0" fontId="5" fillId="0" borderId="0" applyAlignment="1" pivotButton="0" quotePrefix="0" xfId="0">
      <alignment indent="2"/>
    </xf>
    <xf numFmtId="164" fontId="6" fillId="3" borderId="1" pivotButton="0" quotePrefix="0" xfId="0"/>
    <xf numFmtId="164" fontId="6" fillId="0" borderId="1" pivotButton="0" quotePrefix="0" xfId="0"/>
    <xf numFmtId="0" fontId="5" fillId="0" borderId="0" applyAlignment="1" pivotButton="0" quotePrefix="0" xfId="0">
      <alignment indent="3"/>
    </xf>
    <xf numFmtId="0" fontId="5" fillId="0" borderId="0" applyAlignment="1" pivotButton="0" quotePrefix="0" xfId="0">
      <alignment indent="4"/>
    </xf>
    <xf numFmtId="0" fontId="5" fillId="0" borderId="0" applyAlignment="1" pivotButton="0" quotePrefix="0" xfId="0">
      <alignment indent="5"/>
    </xf>
    <xf numFmtId="165" fontId="6" fillId="3" borderId="1" pivotButton="0" quotePrefix="0" xfId="0"/>
    <xf numFmtId="165" fontId="6" fillId="0" borderId="1" pivotButton="0" quotePrefix="0" xfId="0"/>
    <xf numFmtId="0" fontId="5" fillId="0" borderId="0" applyAlignment="1" pivotButton="0" quotePrefix="0" xfId="0">
      <alignment indent="6"/>
    </xf>
    <xf numFmtId="0" fontId="5" fillId="0" borderId="0" applyAlignment="1" pivotButton="0" quotePrefix="0" xfId="0">
      <alignment indent="7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0" fillId="0" borderId="0" applyAlignment="1" pivotButton="0" quotePrefix="0" xfId="0">
      <alignment indent="5"/>
    </xf>
    <xf numFmtId="0" fontId="0" fillId="0" borderId="0" applyAlignment="1" pivotButton="0" quotePrefix="0" xfId="0">
      <alignment indent="6"/>
    </xf>
    <xf numFmtId="0" fontId="0" fillId="0" borderId="0" applyAlignment="1" pivotButton="0" quotePrefix="0" xfId="0">
      <alignment indent="7"/>
    </xf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티엘비 투자심사 모델</t>
        </is>
      </c>
    </row>
    <row r="2">
      <c r="A2" s="2" t="inlineStr">
        <is>
          <t>tools/build_excel.py가 model.html에서 생성. 직접 고치지 말 것 — 다음 빌드에 덮인다.</t>
        </is>
      </c>
    </row>
    <row r="4">
      <c r="A4" s="3" t="inlineStr">
        <is>
          <t>시트</t>
        </is>
      </c>
      <c r="B4" s="3" t="inlineStr">
        <is>
          <t>내용</t>
        </is>
      </c>
    </row>
    <row r="5">
      <c r="A5" s="4" t="inlineStr">
        <is>
          <t>Index</t>
        </is>
      </c>
      <c r="B5" s="5" t="inlineStr">
        <is>
          <t>이 시트</t>
        </is>
      </c>
    </row>
    <row r="6">
      <c r="A6" s="4" t="inlineStr">
        <is>
          <t>Control</t>
        </is>
      </c>
      <c r="B6" s="5" t="inlineStr">
        <is>
          <t>모델 개요·전역 설정</t>
        </is>
      </c>
    </row>
    <row r="7">
      <c r="A7" s="4" t="inlineStr">
        <is>
          <t>Assumptions</t>
        </is>
      </c>
      <c r="B7" s="5" t="inlineStr">
        <is>
          <t>가정변수 일람과 근거</t>
        </is>
      </c>
    </row>
    <row r="8">
      <c r="A8" s="4" t="inlineStr">
        <is>
          <t>Model</t>
        </is>
      </c>
      <c r="B8" s="5" t="inlineStr">
        <is>
          <t>계정 트리 × 연도. 수식이 살아있는 본체</t>
        </is>
      </c>
    </row>
    <row r="9">
      <c r="A9" s="4" t="inlineStr">
        <is>
          <t>Formula Audit</t>
        </is>
      </c>
      <c r="B9" s="5" t="inlineStr">
        <is>
          <t>모델 원식 ↔ 셀 수식 대조</t>
        </is>
      </c>
    </row>
    <row r="10">
      <c r="A10" s="4" t="inlineStr">
        <is>
          <t>Structure</t>
        </is>
      </c>
      <c r="B10" s="5" t="inlineStr">
        <is>
          <t>트리 구조·깊이·행 배치</t>
        </is>
      </c>
    </row>
    <row r="11">
      <c r="A11" s="4" t="inlineStr">
        <is>
          <t>Checks</t>
        </is>
      </c>
      <c r="B11" s="5" t="inlineStr">
        <is>
          <t>부모 = 자식 합 정합 검증</t>
        </is>
      </c>
    </row>
    <row r="12">
      <c r="A12" s="4" t="inlineStr">
        <is>
          <t>Metadata</t>
        </is>
      </c>
      <c r="B12" s="5" t="inlineStr">
        <is>
          <t>빌드 정보</t>
        </is>
      </c>
    </row>
    <row r="14">
      <c r="A14" s="4" t="inlineStr">
        <is>
          <t>셀 색 규약</t>
        </is>
      </c>
    </row>
    <row r="15">
      <c r="A15" s="2" t="inlineStr">
        <is>
          <t>파랑 글자</t>
        </is>
      </c>
      <c r="B15" s="2" t="inlineStr">
        <is>
          <t>하드코딩 입력값 — 여기만 고친다</t>
        </is>
      </c>
    </row>
    <row r="16">
      <c r="A16" s="2" t="inlineStr">
        <is>
          <t>검정 글자</t>
        </is>
      </c>
      <c r="B16" s="2" t="inlineStr">
        <is>
          <t>수식</t>
        </is>
      </c>
    </row>
    <row r="17">
      <c r="A17" s="2" t="inlineStr">
        <is>
          <t>회색 배경</t>
        </is>
      </c>
      <c r="B17" s="2" t="inlineStr">
        <is>
          <t>실적(Historical) 구간 — 공시 확정값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컨트롤</t>
        </is>
      </c>
    </row>
    <row r="2">
      <c r="A2" s="2" t="inlineStr">
        <is>
          <t>가정을 바꾸려면 Assumptions 시트가 아니라 Model 시트의 파랑 셀을 고친다. Model이 계산의 단일 출처다.</t>
        </is>
      </c>
    </row>
    <row r="4">
      <c r="A4" s="4" t="inlineStr">
        <is>
          <t>모델</t>
        </is>
      </c>
      <c r="B4" t="inlineStr">
        <is>
          <t>티엘비 투자심사 모델</t>
        </is>
      </c>
    </row>
    <row r="5">
      <c r="A5" s="4" t="inlineStr">
        <is>
          <t>통화 단위</t>
        </is>
      </c>
      <c r="B5" t="inlineStr">
        <is>
          <t>억원</t>
        </is>
      </c>
    </row>
    <row r="6">
      <c r="A6" s="4" t="inlineStr">
        <is>
          <t>범위</t>
        </is>
      </c>
      <c r="B6" t="inlineStr">
        <is>
          <t>출하량×단가 → 영업이익 → 밸류에이션</t>
        </is>
      </c>
    </row>
    <row r="7">
      <c r="A7" s="4" t="inlineStr">
        <is>
          <t>실적 연도 수 (HIST_N)</t>
        </is>
      </c>
      <c r="B7" t="n">
        <v>5</v>
      </c>
    </row>
    <row r="8">
      <c r="A8" s="4" t="inlineStr">
        <is>
          <t>추정 연도 수</t>
        </is>
      </c>
      <c r="B8" t="n">
        <v>5</v>
      </c>
    </row>
    <row r="9">
      <c r="A9" s="4" t="inlineStr">
        <is>
          <t>첫 연도</t>
        </is>
      </c>
      <c r="B9" t="inlineStr">
        <is>
          <t>2021</t>
        </is>
      </c>
    </row>
    <row r="10">
      <c r="A10" s="4" t="inlineStr">
        <is>
          <t>마지막 연도</t>
        </is>
      </c>
      <c r="B10" t="inlineStr">
        <is>
          <t>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90" customWidth="1" min="14" max="14"/>
  </cols>
  <sheetData>
    <row r="1">
      <c r="A1" s="1" t="inlineStr">
        <is>
          <t>가정변수 일람</t>
        </is>
      </c>
    </row>
    <row r="2">
      <c r="A2" s="2" t="inlineStr">
        <is>
          <t>파랑 = 하드코딩 입력값. 근거 열의 대괄호 태그가 객관/주관 구분이다.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노드 id</t>
        </is>
      </c>
      <c r="C4" s="3" t="inlineStr">
        <is>
          <t>단위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  <c r="N4" s="3" t="inlineStr">
        <is>
          <t>근거</t>
        </is>
      </c>
    </row>
    <row r="5">
      <c r="A5" s="5" t="inlineStr">
        <is>
          <t>목표 EV/EBITDA</t>
        </is>
      </c>
      <c r="B5" s="2" t="inlineStr">
        <is>
          <t>target_ev_ebitda</t>
        </is>
      </c>
      <c r="C5" s="2" t="inlineStr">
        <is>
          <t>배</t>
        </is>
      </c>
      <c r="D5" s="9" t="n">
        <v>12</v>
      </c>
      <c r="E5" s="9" t="n">
        <v>12</v>
      </c>
      <c r="F5" s="9" t="n">
        <v>12</v>
      </c>
      <c r="G5" s="9" t="n">
        <v>12</v>
      </c>
      <c r="H5" s="9" t="n">
        <v>12</v>
      </c>
      <c r="I5" s="10" t="n">
        <v>12</v>
      </c>
      <c r="J5" s="10" t="n">
        <v>12</v>
      </c>
      <c r="K5" s="10" t="n">
        <v>12</v>
      </c>
      <c r="L5" s="10" t="n">
        <v>12</v>
      </c>
      <c r="M5" s="10" t="n">
        <v>12</v>
      </c>
      <c r="N5" s="11" t="inlineStr">
        <is>
          <t>[주관·시나리오] 12배. 이 모델에서 가장 강력한 단일 가정이다. 국내 기판 피어의 2026 컨센서스가 14.1~21.3배이고 티엘비 자신이 15.3배이나, 그 배수들은 **사이클 상단에서 형성된 값**이다. 2023~2024년 이 회사의 영업이익률은 1.8%·1.9%였고 그때 배수는 의미를 갖지 못했다. 사이클 중립 EBITDA에 적용할 배수로 12배를 택했다 — 성숙 부품사(3.5~6.2배)보다 확실히 높되 현재 피어 하단(14.1배)보다 낮은 자리다.</t>
        </is>
      </c>
    </row>
    <row r="6">
      <c r="A6" s="5" t="inlineStr">
        <is>
          <t>순이익 실적 마스크</t>
        </is>
      </c>
      <c r="B6" s="2" t="inlineStr">
        <is>
          <t>ni_hist</t>
        </is>
      </c>
      <c r="C6" s="2" t="inlineStr"/>
      <c r="D6" s="9" t="n">
        <v>1</v>
      </c>
      <c r="E6" s="9" t="n">
        <v>1</v>
      </c>
      <c r="F6" s="9" t="n">
        <v>1</v>
      </c>
      <c r="G6" s="9" t="n">
        <v>1</v>
      </c>
      <c r="H6" s="9" t="n">
        <v>1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1" t="inlineStr">
        <is>
          <t>[객관] 실적 연도 표시(1). 순이익은 적자 연도가 있어 "실적 &gt; 0" 관용구를 쓸 수 없다 — LGD·삼성전자 DS에서 확립한 hist 마스크 패턴.</t>
        </is>
      </c>
    </row>
    <row r="7">
      <c r="A7" s="5" t="inlineStr">
        <is>
          <t>순이익 실적</t>
        </is>
      </c>
      <c r="B7" s="2" t="inlineStr">
        <is>
          <t>ni_actual</t>
        </is>
      </c>
      <c r="C7" s="2" t="inlineStr">
        <is>
          <t>억원</t>
        </is>
      </c>
      <c r="D7" s="9" t="n">
        <v>124.11147392</v>
      </c>
      <c r="E7" s="9" t="n">
        <v>305.556354</v>
      </c>
      <c r="F7" s="9" t="n">
        <v>25.14693255</v>
      </c>
      <c r="G7" s="9" t="n">
        <v>36.17832158</v>
      </c>
      <c r="H7" s="9" t="n">
        <v>190.49050674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1" t="inlineStr">
        <is>
          <t>[객관] 연결 지배주주 순이익 확정값 (사업보고서 연결포괄손익계산서).</t>
        </is>
      </c>
    </row>
    <row r="8">
      <c r="A8" s="5" t="inlineStr">
        <is>
          <t>영업외손익</t>
        </is>
      </c>
      <c r="B8" s="2" t="inlineStr">
        <is>
          <t>nonop</t>
        </is>
      </c>
      <c r="C8" s="2" t="inlineStr">
        <is>
          <t>억원</t>
        </is>
      </c>
      <c r="D8" s="9" t="n">
        <v>15.00632322</v>
      </c>
      <c r="E8" s="9" t="n">
        <v>-2.30913692</v>
      </c>
      <c r="F8" s="9" t="n">
        <v>2.21248076</v>
      </c>
      <c r="G8" s="9" t="n">
        <v>15.43167313</v>
      </c>
      <c r="H8" s="9" t="n">
        <v>-15.8505192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1" t="inlineStr">
        <is>
          <t>[주관 추정 · 실적은 공시값] 영업외손익 = 세전이익 − 영업이익. 실적 +15/−2/+2/+15/−16억 등락 — 규모가 작아 0 고정.</t>
        </is>
      </c>
    </row>
    <row r="9">
      <c r="A9" s="5" t="inlineStr">
        <is>
          <t>실효세율</t>
        </is>
      </c>
      <c r="B9" s="2" t="inlineStr">
        <is>
          <t>tax_rate</t>
        </is>
      </c>
      <c r="C9" s="2" t="inlineStr">
        <is>
          <t>%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3" t="n">
        <v>0.22</v>
      </c>
      <c r="J9" s="13" t="n">
        <v>0.22</v>
      </c>
      <c r="K9" s="13" t="n">
        <v>0.22</v>
      </c>
      <c r="L9" s="13" t="n">
        <v>0.22</v>
      </c>
      <c r="M9" s="13" t="n">
        <v>0.22</v>
      </c>
      <c r="N9" s="11" t="inlineStr">
        <is>
          <t>[주관] 실효세율. 실적 16.6/20.1/23.2/26.6/22.3% — 22%.</t>
        </is>
      </c>
    </row>
    <row r="10">
      <c r="A10" s="5" t="inlineStr">
        <is>
          <t>지배지분 비율</t>
        </is>
      </c>
      <c r="B10" s="2" t="inlineStr">
        <is>
          <t>ctrl_ratio</t>
        </is>
      </c>
      <c r="C10" s="2" t="inlineStr">
        <is>
          <t>%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3" t="n">
        <v>1</v>
      </c>
      <c r="J10" s="13" t="n">
        <v>1</v>
      </c>
      <c r="K10" s="13" t="n">
        <v>1</v>
      </c>
      <c r="L10" s="13" t="n">
        <v>1</v>
      </c>
      <c r="M10" s="13" t="n">
        <v>1</v>
      </c>
      <c r="N10" s="11" t="inlineStr">
        <is>
          <t>[주관] 지배지분 비율. 비지배 몫이 미미(음수) — 100%.</t>
        </is>
      </c>
    </row>
    <row r="11">
      <c r="A11" s="5" t="inlineStr">
        <is>
          <t>상장주식수</t>
        </is>
      </c>
      <c r="B11" s="2" t="inlineStr">
        <is>
          <t>shares</t>
        </is>
      </c>
      <c r="C11" s="2" t="inlineStr">
        <is>
          <t>백만주</t>
        </is>
      </c>
      <c r="D11" s="9" t="n">
        <v>23.70126</v>
      </c>
      <c r="E11" s="9" t="n">
        <v>23.70126</v>
      </c>
      <c r="F11" s="9" t="n">
        <v>23.70126</v>
      </c>
      <c r="G11" s="9" t="n">
        <v>23.70126</v>
      </c>
      <c r="H11" s="9" t="n">
        <v>23.70126</v>
      </c>
      <c r="I11" s="10" t="n">
        <v>23.70126</v>
      </c>
      <c r="J11" s="10" t="n">
        <v>23.70126</v>
      </c>
      <c r="K11" s="10" t="n">
        <v>23.70126</v>
      </c>
      <c r="L11" s="10" t="n">
        <v>23.70126</v>
      </c>
      <c r="M11" s="10" t="n">
        <v>23.70126</v>
      </c>
      <c r="N11" s="11" t="inlineStr">
        <is>
          <t>[객관] 상장주식수 23,701,260주(2026 무상증자 후) 고정. **공시 EPS·DPS는 증자 전 주식수 기준**이라 실적 연도의 주당 값과 기준이 다르다 — 현재가와 비교하는 용도로는 현재 주식수가 맞다.</t>
        </is>
      </c>
    </row>
    <row r="12">
      <c r="A12" s="5" t="inlineStr">
        <is>
          <t>DPS 실적</t>
        </is>
      </c>
      <c r="B12" s="2" t="inlineStr">
        <is>
          <t>dps_a</t>
        </is>
      </c>
      <c r="C12" s="2" t="inlineStr">
        <is>
          <t>원</t>
        </is>
      </c>
      <c r="D12" s="9" t="n">
        <v>250</v>
      </c>
      <c r="E12" s="9" t="n">
        <v>300</v>
      </c>
      <c r="F12" s="9" t="n">
        <v>200</v>
      </c>
      <c r="G12" s="9" t="n">
        <v>200</v>
      </c>
      <c r="H12" s="9" t="n">
        <v>450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1" t="inlineStr">
        <is>
          <t>[객관] 주당 현금배당(당시 주식수 기준). 실적 250/300/200/200/450원.</t>
        </is>
      </c>
    </row>
    <row r="13">
      <c r="A13" s="5" t="inlineStr">
        <is>
          <t>배당성향</t>
        </is>
      </c>
      <c r="B13" s="2" t="inlineStr">
        <is>
          <t>payout</t>
        </is>
      </c>
      <c r="C13" s="2" t="inlineStr">
        <is>
          <t>%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3" t="n">
        <v>0.23</v>
      </c>
      <c r="J13" s="13" t="n">
        <v>0.23</v>
      </c>
      <c r="K13" s="13" t="n">
        <v>0.23</v>
      </c>
      <c r="L13" s="13" t="n">
        <v>0.23</v>
      </c>
      <c r="M13" s="13" t="n">
        <v>0.23</v>
      </c>
      <c r="N13" s="11" t="inlineStr">
        <is>
          <t>[주관] 배당성향. 실적 9.9/9.7/77.9/53.8/23.0% — 이익 정상 연도 기준 **23%**.</t>
        </is>
      </c>
    </row>
    <row r="14">
      <c r="A14" s="5" t="inlineStr">
        <is>
          <t>감가상각비 실적</t>
        </is>
      </c>
      <c r="B14" s="2" t="inlineStr">
        <is>
          <t>dep_actual</t>
        </is>
      </c>
      <c r="C14" s="2" t="inlineStr">
        <is>
          <t>억원</t>
        </is>
      </c>
      <c r="D14" s="9" t="n">
        <v>35.71458</v>
      </c>
      <c r="E14" s="9" t="n">
        <v>45.83276</v>
      </c>
      <c r="F14" s="9" t="n">
        <v>53.90911</v>
      </c>
      <c r="G14" s="9" t="n">
        <v>59.76686</v>
      </c>
      <c r="H14" s="9" t="n">
        <v>75.01629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1" t="inlineStr">
        <is>
          <t>[객관] 네 개 사업보고서의 당기/전기가 연쇄적으로 일치해 교차검증됐다.</t>
        </is>
      </c>
    </row>
    <row r="15">
      <c r="A15" s="5" t="inlineStr">
        <is>
          <t>감가상각 증가율</t>
        </is>
      </c>
      <c r="B15" s="2" t="inlineStr">
        <is>
          <t>dep_g</t>
        </is>
      </c>
      <c r="C15" s="2" t="inlineStr">
        <is>
          <t>%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3" t="n">
        <v>0.35</v>
      </c>
      <c r="J15" s="13" t="n">
        <v>0.25</v>
      </c>
      <c r="K15" s="13" t="n">
        <v>0.15</v>
      </c>
      <c r="L15" s="13" t="n">
        <v>0.1</v>
      </c>
      <c r="M15" s="13" t="n">
        <v>0.08</v>
      </c>
      <c r="N15" s="11" t="inlineStr">
        <is>
          <t>[주관] 2025년 CAPEX가 368.8억으로 감가상각비(75.0억)의 **4.9배**다. 증설이 진행 중이라는 뜻이고, 그 투자분이 2026~2027년에 상각으로 들어온다. 실적 4년 연평균 +20.4%에서 2026년을 +35%로 올린 근거가 이것이다. 생산능력 가정과 방향이 일치해야 한다 — 능력을 늘리면서 상각이 늘지 않는 모델은 성립하지 않는다.</t>
        </is>
      </c>
    </row>
    <row r="16">
      <c r="A16" s="5" t="inlineStr">
        <is>
          <t>기타비용 실적</t>
        </is>
      </c>
      <c r="B16" s="2" t="inlineStr">
        <is>
          <t>other_actual</t>
        </is>
      </c>
      <c r="C16" s="2" t="inlineStr">
        <is>
          <t>억원</t>
        </is>
      </c>
      <c r="D16" s="9" t="n">
        <v>1611.4808117</v>
      </c>
      <c r="E16" s="9" t="n">
        <v>1785.00435726</v>
      </c>
      <c r="F16" s="9" t="n">
        <v>1628.70819668</v>
      </c>
      <c r="G16" s="9" t="n">
        <v>1706.66660828</v>
      </c>
      <c r="H16" s="9" t="n">
        <v>2250.33474673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1" t="inlineStr">
        <is>
          <t>[객관] 확정값에서 역산. 세 항목 모두 공시값이라 결과도 확정이다.</t>
        </is>
      </c>
    </row>
    <row r="17">
      <c r="A17" s="5" t="inlineStr">
        <is>
          <t>기타비용률</t>
        </is>
      </c>
      <c r="B17" s="2" t="inlineStr">
        <is>
          <t>other_ratio</t>
        </is>
      </c>
      <c r="C17" s="2" t="inlineStr">
        <is>
          <t>%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3" t="n">
        <v>0.83</v>
      </c>
      <c r="J17" s="13" t="n">
        <v>0.825</v>
      </c>
      <c r="K17" s="13" t="n">
        <v>0.82</v>
      </c>
      <c r="L17" s="13" t="n">
        <v>0.8149999999999999</v>
      </c>
      <c r="M17" s="13" t="n">
        <v>0.8100000000000001</v>
      </c>
      <c r="N17" s="11" t="inlineStr">
        <is>
          <t>[주관] 매출 대비 기타비용. 실적 90.5 → 80.6 → 95.1 → 94.8 → 87.1%로 **사이클에 따라 15%p나 흔들린다** — 고정비 비중이 높은 장치산업의 특징이다. 2026 상반기 실적(매출 1,640.8억 · 영업이익 234.9억)에서 역산하면 82.9% 수준이라 2026년을 83.0%로 두고 연 0.5%p씩만 개선한다고 봤다. 2022년 저점(80.6%)까지 가는 것은 Bull에서만 가정한다.</t>
        </is>
      </c>
    </row>
    <row r="18">
      <c r="A18" s="5" t="inlineStr">
        <is>
          <t>생산능력</t>
        </is>
      </c>
      <c r="B18" s="2" t="inlineStr">
        <is>
          <t>capacity</t>
        </is>
      </c>
      <c r="C18" s="2" t="inlineStr">
        <is>
          <t>천㎡</t>
        </is>
      </c>
      <c r="D18" s="9" t="n">
        <v>342</v>
      </c>
      <c r="E18" s="9" t="n">
        <v>348</v>
      </c>
      <c r="F18" s="9" t="n">
        <v>348</v>
      </c>
      <c r="G18" s="9" t="n">
        <v>348</v>
      </c>
      <c r="H18" s="9" t="n">
        <v>348</v>
      </c>
      <c r="I18" s="10" t="n">
        <v>360</v>
      </c>
      <c r="J18" s="10" t="n">
        <v>400</v>
      </c>
      <c r="K18" s="10" t="n">
        <v>430</v>
      </c>
      <c r="L18" s="10" t="n">
        <v>450</v>
      </c>
      <c r="M18" s="10" t="n">
        <v>460</v>
      </c>
      <c r="N18" s="11" t="inlineStr">
        <is>
          <t>[객관 실적 / 주관 추정] 공시 기준 월 29,000㎡ × 12개월 = 348천㎡로 2022년 이후 **4년째 고정**이다. 이것이 이 모델의 상한선이고, 증설 없이는 물량이 348천㎡를 넘을 수 없다. 추정 구간은 2025년 CAPEX 368.8억(감가상각의 4.9배)을 근거로 늘려 잡았고, 2026-09 증권사 실사(IBK)로 방향이 확인됐다 — 2Q26 베트남 2공장·안산에 매스램 병목 해소 설비 가동, **베트남 신공장 4Q27 가동 예정**(2027 400천㎡ 가정과 정합). 다만 회사가 수치로 공시한 계획은 여전히 없어 이 부분은 판단이다. 민감도 뷰에서 영향도를 확인할 것.</t>
        </is>
      </c>
    </row>
    <row r="19">
      <c r="A19" s="5" t="inlineStr">
        <is>
          <t>가동률</t>
        </is>
      </c>
      <c r="B19" s="2" t="inlineStr">
        <is>
          <t>util</t>
        </is>
      </c>
      <c r="C19" s="2" t="inlineStr">
        <is>
          <t>%</t>
        </is>
      </c>
      <c r="D19" s="12" t="n">
        <v>0.860946317519296</v>
      </c>
      <c r="E19" s="12" t="n">
        <v>0.8028427797711249</v>
      </c>
      <c r="F19" s="12" t="n">
        <v>0.6552676032886309</v>
      </c>
      <c r="G19" s="12" t="n">
        <v>0.613460265575915</v>
      </c>
      <c r="H19" s="12" t="n">
        <v>0.6780144209429898</v>
      </c>
      <c r="I19" s="13" t="n">
        <v>0.717</v>
      </c>
      <c r="J19" s="13" t="n">
        <v>0.74</v>
      </c>
      <c r="K19" s="13" t="n">
        <v>0.75</v>
      </c>
      <c r="L19" s="13" t="n">
        <v>0.77</v>
      </c>
      <c r="M19" s="13" t="n">
        <v>0.78</v>
      </c>
      <c r="N19" s="11" t="inlineStr">
        <is>
          <t>[주관] 출하량 ÷ 생산능력. 실적 86.1 → 80.3 → 65.5 → 61.3 → 67.8%. 공시의 가동률(생산실적 기준)과는 재고 변동만큼 다르다. 2026 상반기 역산 연환산 69.3%에, 2Q26부터 가동된 매스램(적층 압착) 병목 해소 설비로 하반기 생산 확대(분기 생산면적 6.5 → 7.2만㎡ 추정 — IBK 파악)를 반영해 71.7%로 상향. 이후 연 1~2%p 개선. **2021년 수준(86.1%) 복귀는 여전히 가정하지 않는다** — 그 회복이 가장 큰 상방이고 Bull에서만 반영. 2026-09-04 재보정 — MEMO.revision 참조.</t>
        </is>
      </c>
    </row>
    <row r="20">
      <c r="A20" s="5" t="inlineStr">
        <is>
          <t>단가</t>
        </is>
      </c>
      <c r="B20" s="2" t="inlineStr">
        <is>
          <t>price</t>
        </is>
      </c>
      <c r="C20" s="2" t="inlineStr">
        <is>
          <t>억원/천㎡</t>
        </is>
      </c>
      <c r="D20" s="9" t="n">
        <v>6.04869</v>
      </c>
      <c r="E20" s="9" t="n">
        <v>7.92973</v>
      </c>
      <c r="F20" s="9" t="n">
        <v>7.51236</v>
      </c>
      <c r="G20" s="9" t="n">
        <v>8.4316</v>
      </c>
      <c r="H20" s="9" t="n">
        <v>10.95566</v>
      </c>
      <c r="I20" s="10" t="n">
        <v>14.15</v>
      </c>
      <c r="J20" s="10" t="n">
        <v>15.57</v>
      </c>
      <c r="K20" s="10" t="n">
        <v>16.04</v>
      </c>
      <c r="L20" s="10" t="n">
        <v>16.36</v>
      </c>
      <c r="M20" s="10" t="n">
        <v>16.69</v>
      </c>
      <c r="N20" s="11" t="inlineStr">
        <is>
          <t>[주관] 공시 "주요제품 가격변동 추이"(원/㎡)를 억원/천㎡로 환산. 실적 604,869 → 792,973 → 751,236 → 843,160 → 1,095,566원/㎡, 2026 상반기 공시값 **1,361,056원/㎡(+24.2%)**. 초안은 하반기 조정을 가정해 연평균 13.42로 뒀으나, SOCAMM(쏘캠) 양산이 방향을 뒤집었다 — 판가가 일반 서버 기판의 약 3배(IBK 파악)인 쏘캠 비중이 2Q26 11% → 4Q26 26%(추정)로 올라 하반기 blended 단가는 조정이 아니라 상승이 맞다. 2026 연평균 14.15(H1 13.61 확정 + H2 쏘캠 믹스), 2027 +10%(쏘캠 비중 ~30% — 회사 가이던스 1,500억), 이후 +3/+2/+2%로 체감. 2026-09-04 재보정 — MEMO.revision 참조.</t>
        </is>
      </c>
    </row>
    <row r="21">
      <c r="A21" s="5" t="inlineStr">
        <is>
          <t>순차입금</t>
        </is>
      </c>
      <c r="B21" s="2" t="inlineStr">
        <is>
          <t>net_debt</t>
        </is>
      </c>
      <c r="C21" s="2" t="inlineStr">
        <is>
          <t>억원</t>
        </is>
      </c>
      <c r="D21" s="9" t="n">
        <v>70.03945403</v>
      </c>
      <c r="E21" s="9" t="n">
        <v>-52.71277978</v>
      </c>
      <c r="F21" s="9" t="n">
        <v>298.34463868</v>
      </c>
      <c r="G21" s="9" t="n">
        <v>334.64758095</v>
      </c>
      <c r="H21" s="9" t="n">
        <v>617.63877813</v>
      </c>
      <c r="I21" s="10" t="n">
        <v>617.63877813</v>
      </c>
      <c r="J21" s="10" t="n">
        <v>617.63877813</v>
      </c>
      <c r="K21" s="10" t="n">
        <v>617.63877813</v>
      </c>
      <c r="L21" s="10" t="n">
        <v>617.63877813</v>
      </c>
      <c r="M21" s="10" t="n">
        <v>617.63877813</v>
      </c>
      <c r="N21" s="11" t="inlineStr">
        <is>
          <t>[객관 실적 / 추정 구간 고정] 차입금(단기+유동성장기+장기) − 현금및현금성자산. 리스부채 제외. 2022년 −52.7억(순현금)에서 2025년 617.6억으로 3년 만에 670억이 늘었다 — 증설 투자를 차입으로 감당한 결과다. 시가총액의 6.3%로 삼성전기·KT&amp;G보다 밸류에이션 민감도가 크다. 추정 구간은 2025년 수준으로 고정했으나, CAPEX가 감가상각의 5배인 국면이라 실제로는 더 늘 가능성이 높다.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티엘비 투자심사 모델</t>
        </is>
      </c>
    </row>
    <row r="2">
      <c r="A2" s="2" t="inlineStr">
        <is>
          <t>단위 억원 · 실적 5개년 + 추정 5개년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노드 id</t>
        </is>
      </c>
      <c r="C4" s="3" t="inlineStr">
        <is>
          <t>단위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</row>
    <row r="5">
      <c r="A5" s="4" t="inlineStr">
        <is>
          <t>적정 시가총액</t>
        </is>
      </c>
      <c r="B5" s="2" t="inlineStr">
        <is>
          <t>root</t>
        </is>
      </c>
      <c r="C5" s="2" t="inlineStr">
        <is>
          <t>억원</t>
        </is>
      </c>
      <c r="D5" s="14">
        <f>(D6-D33)</f>
        <v/>
      </c>
      <c r="E5" s="14">
        <f>(E6-E33)</f>
        <v/>
      </c>
      <c r="F5" s="14">
        <f>(F6-F33)</f>
        <v/>
      </c>
      <c r="G5" s="14">
        <f>(G6-G33)</f>
        <v/>
      </c>
      <c r="H5" s="14">
        <f>(H6-H33)</f>
        <v/>
      </c>
      <c r="I5" s="14">
        <f>(I6-I33)</f>
        <v/>
      </c>
      <c r="J5" s="14">
        <f>(J6-J33)</f>
        <v/>
      </c>
      <c r="K5" s="14">
        <f>(K6-K33)</f>
        <v/>
      </c>
      <c r="L5" s="14">
        <f>(L6-L33)</f>
        <v/>
      </c>
      <c r="M5" s="14">
        <f>(M6-M33)</f>
        <v/>
      </c>
    </row>
    <row r="6">
      <c r="A6" s="15" t="inlineStr">
        <is>
          <t>사업가치 (EV)</t>
        </is>
      </c>
      <c r="B6" s="2" t="inlineStr">
        <is>
          <t>ev_value</t>
        </is>
      </c>
      <c r="C6" s="2" t="inlineStr">
        <is>
          <t>억원</t>
        </is>
      </c>
      <c r="D6" s="16">
        <f>(D8*D7)</f>
        <v/>
      </c>
      <c r="E6" s="16">
        <f>(E8*E7)</f>
        <v/>
      </c>
      <c r="F6" s="16">
        <f>(F8*F7)</f>
        <v/>
      </c>
      <c r="G6" s="16">
        <f>(G8*G7)</f>
        <v/>
      </c>
      <c r="H6" s="16">
        <f>(H8*H7)</f>
        <v/>
      </c>
      <c r="I6" s="17">
        <f>(I8*I7)</f>
        <v/>
      </c>
      <c r="J6" s="17">
        <f>(J8*J7)</f>
        <v/>
      </c>
      <c r="K6" s="17">
        <f>(K8*K7)</f>
        <v/>
      </c>
      <c r="L6" s="17">
        <f>(L8*L7)</f>
        <v/>
      </c>
      <c r="M6" s="17">
        <f>(M8*M7)</f>
        <v/>
      </c>
    </row>
    <row r="7">
      <c r="A7" s="18" t="inlineStr">
        <is>
          <t>목표 EV/EBITDA</t>
        </is>
      </c>
      <c r="B7" s="2" t="inlineStr">
        <is>
          <t>target_ev_ebitda</t>
        </is>
      </c>
      <c r="C7" s="2" t="inlineStr">
        <is>
          <t>배</t>
        </is>
      </c>
      <c r="D7" s="19" t="n">
        <v>12</v>
      </c>
      <c r="E7" s="19" t="n">
        <v>12</v>
      </c>
      <c r="F7" s="19" t="n">
        <v>12</v>
      </c>
      <c r="G7" s="19" t="n">
        <v>12</v>
      </c>
      <c r="H7" s="19" t="n">
        <v>12</v>
      </c>
      <c r="I7" s="20" t="n">
        <v>12</v>
      </c>
      <c r="J7" s="20" t="n">
        <v>12</v>
      </c>
      <c r="K7" s="20" t="n">
        <v>12</v>
      </c>
      <c r="L7" s="20" t="n">
        <v>12</v>
      </c>
      <c r="M7" s="20" t="n">
        <v>12</v>
      </c>
    </row>
    <row r="8">
      <c r="A8" s="18" t="inlineStr">
        <is>
          <t>EBITDA</t>
        </is>
      </c>
      <c r="B8" s="2" t="inlineStr">
        <is>
          <t>ebitda</t>
        </is>
      </c>
      <c r="C8" s="2" t="inlineStr">
        <is>
          <t>억원</t>
        </is>
      </c>
      <c r="D8" s="16">
        <f>(D9+D22)</f>
        <v/>
      </c>
      <c r="E8" s="16">
        <f>(E9+E22)</f>
        <v/>
      </c>
      <c r="F8" s="16">
        <f>(F9+F22)</f>
        <v/>
      </c>
      <c r="G8" s="16">
        <f>(G9+G22)</f>
        <v/>
      </c>
      <c r="H8" s="16">
        <f>(H9+H22)</f>
        <v/>
      </c>
      <c r="I8" s="17">
        <f>(I9+I22)</f>
        <v/>
      </c>
      <c r="J8" s="17">
        <f>(J9+J22)</f>
        <v/>
      </c>
      <c r="K8" s="17">
        <f>(K9+K22)</f>
        <v/>
      </c>
      <c r="L8" s="17">
        <f>(L9+L22)</f>
        <v/>
      </c>
      <c r="M8" s="17">
        <f>(M9+M22)</f>
        <v/>
      </c>
    </row>
    <row r="9">
      <c r="A9" s="21" t="inlineStr">
        <is>
          <t>영업이익</t>
        </is>
      </c>
      <c r="B9" s="2" t="inlineStr">
        <is>
          <t>op_profit</t>
        </is>
      </c>
      <c r="C9" s="2" t="inlineStr">
        <is>
          <t>억원</t>
        </is>
      </c>
      <c r="D9" s="16">
        <f>(D28-D21)</f>
        <v/>
      </c>
      <c r="E9" s="16">
        <f>(E28-E21)</f>
        <v/>
      </c>
      <c r="F9" s="16">
        <f>(F28-F21)</f>
        <v/>
      </c>
      <c r="G9" s="16">
        <f>(G28-G21)</f>
        <v/>
      </c>
      <c r="H9" s="16">
        <f>(H28-H21)</f>
        <v/>
      </c>
      <c r="I9" s="17">
        <f>(I28-I21)</f>
        <v/>
      </c>
      <c r="J9" s="17">
        <f>(J28-J21)</f>
        <v/>
      </c>
      <c r="K9" s="17">
        <f>(K28-K21)</f>
        <v/>
      </c>
      <c r="L9" s="17">
        <f>(L28-L21)</f>
        <v/>
      </c>
      <c r="M9" s="17">
        <f>(M28-M21)</f>
        <v/>
      </c>
    </row>
    <row r="10">
      <c r="A10" s="22" t="inlineStr">
        <is>
          <t>지배주주 순이익 (참고)</t>
        </is>
      </c>
      <c r="B10" s="2" t="inlineStr">
        <is>
          <t>net_income</t>
        </is>
      </c>
      <c r="C10" s="2" t="inlineStr">
        <is>
          <t>억원</t>
        </is>
      </c>
      <c r="D10" s="16">
        <f>IF((D11&gt;0),D12,(((D9+D13)*(1-D14))*D15))</f>
        <v/>
      </c>
      <c r="E10" s="16">
        <f>IF((E11&gt;0),E12,(((E9+E13)*(1-E14))*E15))</f>
        <v/>
      </c>
      <c r="F10" s="16">
        <f>IF((F11&gt;0),F12,(((F9+F13)*(1-F14))*F15))</f>
        <v/>
      </c>
      <c r="G10" s="16">
        <f>IF((G11&gt;0),G12,(((G9+G13)*(1-G14))*G15))</f>
        <v/>
      </c>
      <c r="H10" s="16">
        <f>IF((H11&gt;0),H12,(((H9+H13)*(1-H14))*H15))</f>
        <v/>
      </c>
      <c r="I10" s="17">
        <f>IF((I11&gt;0),I12,(((I9+I13)*(1-I14))*I15))</f>
        <v/>
      </c>
      <c r="J10" s="17">
        <f>IF((J11&gt;0),J12,(((J9+J13)*(1-J14))*J15))</f>
        <v/>
      </c>
      <c r="K10" s="17">
        <f>IF((K11&gt;0),K12,(((K9+K13)*(1-K14))*K15))</f>
        <v/>
      </c>
      <c r="L10" s="17">
        <f>IF((L11&gt;0),L12,(((L9+L13)*(1-L14))*L15))</f>
        <v/>
      </c>
      <c r="M10" s="17">
        <f>IF((M11&gt;0),M12,(((M9+M13)*(1-M14))*M15))</f>
        <v/>
      </c>
    </row>
    <row r="11">
      <c r="A11" s="23" t="inlineStr">
        <is>
          <t>순이익 실적 마스크</t>
        </is>
      </c>
      <c r="B11" s="2" t="inlineStr">
        <is>
          <t>ni_hist</t>
        </is>
      </c>
      <c r="C11" s="2" t="inlineStr"/>
      <c r="D11" s="19" t="n">
        <v>1</v>
      </c>
      <c r="E11" s="19" t="n">
        <v>1</v>
      </c>
      <c r="F11" s="19" t="n">
        <v>1</v>
      </c>
      <c r="G11" s="19" t="n">
        <v>1</v>
      </c>
      <c r="H11" s="19" t="n">
        <v>1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</row>
    <row r="12">
      <c r="A12" s="23" t="inlineStr">
        <is>
          <t>순이익 실적</t>
        </is>
      </c>
      <c r="B12" s="2" t="inlineStr">
        <is>
          <t>ni_actual</t>
        </is>
      </c>
      <c r="C12" s="2" t="inlineStr">
        <is>
          <t>억원</t>
        </is>
      </c>
      <c r="D12" s="19" t="n">
        <v>124.11147392</v>
      </c>
      <c r="E12" s="19" t="n">
        <v>305.556354</v>
      </c>
      <c r="F12" s="19" t="n">
        <v>25.14693255</v>
      </c>
      <c r="G12" s="19" t="n">
        <v>36.17832158</v>
      </c>
      <c r="H12" s="19" t="n">
        <v>190.49050674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0</v>
      </c>
    </row>
    <row r="13">
      <c r="A13" s="23" t="inlineStr">
        <is>
          <t>영업외손익</t>
        </is>
      </c>
      <c r="B13" s="2" t="inlineStr">
        <is>
          <t>nonop</t>
        </is>
      </c>
      <c r="C13" s="2" t="inlineStr">
        <is>
          <t>억원</t>
        </is>
      </c>
      <c r="D13" s="19" t="n">
        <v>15.00632322</v>
      </c>
      <c r="E13" s="19" t="n">
        <v>-2.30913692</v>
      </c>
      <c r="F13" s="19" t="n">
        <v>2.21248076</v>
      </c>
      <c r="G13" s="19" t="n">
        <v>15.43167313</v>
      </c>
      <c r="H13" s="19" t="n">
        <v>-15.8505192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</row>
    <row r="14">
      <c r="A14" s="23" t="inlineStr">
        <is>
          <t>실효세율</t>
        </is>
      </c>
      <c r="B14" s="2" t="inlineStr">
        <is>
          <t>tax_rate</t>
        </is>
      </c>
      <c r="C14" s="2" t="inlineStr">
        <is>
          <t>%</t>
        </is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5" t="n">
        <v>0.22</v>
      </c>
      <c r="J14" s="25" t="n">
        <v>0.22</v>
      </c>
      <c r="K14" s="25" t="n">
        <v>0.22</v>
      </c>
      <c r="L14" s="25" t="n">
        <v>0.22</v>
      </c>
      <c r="M14" s="25" t="n">
        <v>0.22</v>
      </c>
    </row>
    <row r="15">
      <c r="A15" s="23" t="inlineStr">
        <is>
          <t>지배지분 비율</t>
        </is>
      </c>
      <c r="B15" s="2" t="inlineStr">
        <is>
          <t>ctrl_ratio</t>
        </is>
      </c>
      <c r="C15" s="2" t="inlineStr">
        <is>
          <t>%</t>
        </is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5" t="n">
        <v>1</v>
      </c>
      <c r="J15" s="25" t="n">
        <v>1</v>
      </c>
      <c r="K15" s="25" t="n">
        <v>1</v>
      </c>
      <c r="L15" s="25" t="n">
        <v>1</v>
      </c>
      <c r="M15" s="25" t="n">
        <v>1</v>
      </c>
    </row>
    <row r="16">
      <c r="A16" s="23" t="inlineStr">
        <is>
          <t>EPS (참고)</t>
        </is>
      </c>
      <c r="B16" s="2" t="inlineStr">
        <is>
          <t>eps</t>
        </is>
      </c>
      <c r="C16" s="2" t="inlineStr">
        <is>
          <t>원</t>
        </is>
      </c>
      <c r="D16" s="16">
        <f>((D10/D17)*100)</f>
        <v/>
      </c>
      <c r="E16" s="16">
        <f>((E10/E17)*100)</f>
        <v/>
      </c>
      <c r="F16" s="16">
        <f>((F10/F17)*100)</f>
        <v/>
      </c>
      <c r="G16" s="16">
        <f>((G10/G17)*100)</f>
        <v/>
      </c>
      <c r="H16" s="16">
        <f>((H10/H17)*100)</f>
        <v/>
      </c>
      <c r="I16" s="17">
        <f>((I10/I17)*100)</f>
        <v/>
      </c>
      <c r="J16" s="17">
        <f>((J10/J17)*100)</f>
        <v/>
      </c>
      <c r="K16" s="17">
        <f>((K10/K17)*100)</f>
        <v/>
      </c>
      <c r="L16" s="17">
        <f>((L10/L17)*100)</f>
        <v/>
      </c>
      <c r="M16" s="17">
        <f>((M10/M17)*100)</f>
        <v/>
      </c>
    </row>
    <row r="17">
      <c r="A17" s="26" t="inlineStr">
        <is>
          <t>상장주식수</t>
        </is>
      </c>
      <c r="B17" s="2" t="inlineStr">
        <is>
          <t>shares</t>
        </is>
      </c>
      <c r="C17" s="2" t="inlineStr">
        <is>
          <t>백만주</t>
        </is>
      </c>
      <c r="D17" s="19" t="n">
        <v>23.70126</v>
      </c>
      <c r="E17" s="19" t="n">
        <v>23.70126</v>
      </c>
      <c r="F17" s="19" t="n">
        <v>23.70126</v>
      </c>
      <c r="G17" s="19" t="n">
        <v>23.70126</v>
      </c>
      <c r="H17" s="19" t="n">
        <v>23.70126</v>
      </c>
      <c r="I17" s="20" t="n">
        <v>23.70126</v>
      </c>
      <c r="J17" s="20" t="n">
        <v>23.70126</v>
      </c>
      <c r="K17" s="20" t="n">
        <v>23.70126</v>
      </c>
      <c r="L17" s="20" t="n">
        <v>23.70126</v>
      </c>
      <c r="M17" s="20" t="n">
        <v>23.70126</v>
      </c>
    </row>
    <row r="18">
      <c r="A18" s="26" t="inlineStr">
        <is>
          <t>DPS (참고)</t>
        </is>
      </c>
      <c r="B18" s="2" t="inlineStr">
        <is>
          <t>dps</t>
        </is>
      </c>
      <c r="C18" s="2" t="inlineStr">
        <is>
          <t>원</t>
        </is>
      </c>
      <c r="D18" s="16">
        <f>IF((D11&gt;0),D19,(D16*D20))</f>
        <v/>
      </c>
      <c r="E18" s="16">
        <f>IF((E11&gt;0),E19,(E16*E20))</f>
        <v/>
      </c>
      <c r="F18" s="16">
        <f>IF((F11&gt;0),F19,(F16*F20))</f>
        <v/>
      </c>
      <c r="G18" s="16">
        <f>IF((G11&gt;0),G19,(G16*G20))</f>
        <v/>
      </c>
      <c r="H18" s="16">
        <f>IF((H11&gt;0),H19,(H16*H20))</f>
        <v/>
      </c>
      <c r="I18" s="17">
        <f>IF((I11&gt;0),I19,(I16*I20))</f>
        <v/>
      </c>
      <c r="J18" s="17">
        <f>IF((J11&gt;0),J19,(J16*J20))</f>
        <v/>
      </c>
      <c r="K18" s="17">
        <f>IF((K11&gt;0),K19,(K16*K20))</f>
        <v/>
      </c>
      <c r="L18" s="17">
        <f>IF((L11&gt;0),L19,(L16*L20))</f>
        <v/>
      </c>
      <c r="M18" s="17">
        <f>IF((M11&gt;0),M19,(M16*M20))</f>
        <v/>
      </c>
    </row>
    <row r="19">
      <c r="A19" s="27" t="inlineStr">
        <is>
          <t>DPS 실적</t>
        </is>
      </c>
      <c r="B19" s="2" t="inlineStr">
        <is>
          <t>dps_a</t>
        </is>
      </c>
      <c r="C19" s="2" t="inlineStr">
        <is>
          <t>원</t>
        </is>
      </c>
      <c r="D19" s="19" t="n">
        <v>250</v>
      </c>
      <c r="E19" s="19" t="n">
        <v>300</v>
      </c>
      <c r="F19" s="19" t="n">
        <v>200</v>
      </c>
      <c r="G19" s="19" t="n">
        <v>200</v>
      </c>
      <c r="H19" s="19" t="n">
        <v>450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</row>
    <row r="20">
      <c r="A20" s="27" t="inlineStr">
        <is>
          <t>배당성향</t>
        </is>
      </c>
      <c r="B20" s="2" t="inlineStr">
        <is>
          <t>payout</t>
        </is>
      </c>
      <c r="C20" s="2" t="inlineStr">
        <is>
          <t>%</t>
        </is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0</v>
      </c>
      <c r="I20" s="25" t="n">
        <v>0.23</v>
      </c>
      <c r="J20" s="25" t="n">
        <v>0.23</v>
      </c>
      <c r="K20" s="25" t="n">
        <v>0.23</v>
      </c>
      <c r="L20" s="25" t="n">
        <v>0.23</v>
      </c>
      <c r="M20" s="25" t="n">
        <v>0.23</v>
      </c>
    </row>
    <row r="21">
      <c r="A21" s="22" t="inlineStr">
        <is>
          <t>총비용</t>
        </is>
      </c>
      <c r="B21" s="2" t="inlineStr">
        <is>
          <t>total_cost</t>
        </is>
      </c>
      <c r="C21" s="2" t="inlineStr">
        <is>
          <t>억원</t>
        </is>
      </c>
      <c r="D21" s="16">
        <f>(D22+D25)</f>
        <v/>
      </c>
      <c r="E21" s="16">
        <f>(E22+E25)</f>
        <v/>
      </c>
      <c r="F21" s="16">
        <f>(F22+F25)</f>
        <v/>
      </c>
      <c r="G21" s="16">
        <f>(G22+G25)</f>
        <v/>
      </c>
      <c r="H21" s="16">
        <f>(H22+H25)</f>
        <v/>
      </c>
      <c r="I21" s="17">
        <f>(I22+I25)</f>
        <v/>
      </c>
      <c r="J21" s="17">
        <f>(J22+J25)</f>
        <v/>
      </c>
      <c r="K21" s="17">
        <f>(K22+K25)</f>
        <v/>
      </c>
      <c r="L21" s="17">
        <f>(L22+L25)</f>
        <v/>
      </c>
      <c r="M21" s="17">
        <f>(M22+M25)</f>
        <v/>
      </c>
    </row>
    <row r="22">
      <c r="A22" s="23" t="inlineStr">
        <is>
          <t>감가상각비</t>
        </is>
      </c>
      <c r="B22" s="2" t="inlineStr">
        <is>
          <t>dep_total</t>
        </is>
      </c>
      <c r="C22" s="2" t="inlineStr">
        <is>
          <t>억원</t>
        </is>
      </c>
      <c r="D22" s="16">
        <f>IF((D23&gt;0),D23,(0*(1+D24)))</f>
        <v/>
      </c>
      <c r="E22" s="16">
        <f>IF((E23&gt;0),E23,(D22*(1+E24)))</f>
        <v/>
      </c>
      <c r="F22" s="16">
        <f>IF((F23&gt;0),F23,(E22*(1+F24)))</f>
        <v/>
      </c>
      <c r="G22" s="16">
        <f>IF((G23&gt;0),G23,(F22*(1+G24)))</f>
        <v/>
      </c>
      <c r="H22" s="16">
        <f>IF((H23&gt;0),H23,(G22*(1+H24)))</f>
        <v/>
      </c>
      <c r="I22" s="17">
        <f>IF((I23&gt;0),I23,(H22*(1+I24)))</f>
        <v/>
      </c>
      <c r="J22" s="17">
        <f>IF((J23&gt;0),J23,(I22*(1+J24)))</f>
        <v/>
      </c>
      <c r="K22" s="17">
        <f>IF((K23&gt;0),K23,(J22*(1+K24)))</f>
        <v/>
      </c>
      <c r="L22" s="17">
        <f>IF((L23&gt;0),L23,(K22*(1+L24)))</f>
        <v/>
      </c>
      <c r="M22" s="17">
        <f>IF((M23&gt;0),M23,(L22*(1+M24)))</f>
        <v/>
      </c>
    </row>
    <row r="23">
      <c r="A23" s="26" t="inlineStr">
        <is>
          <t>감가상각비 실적</t>
        </is>
      </c>
      <c r="B23" s="2" t="inlineStr">
        <is>
          <t>dep_actual</t>
        </is>
      </c>
      <c r="C23" s="2" t="inlineStr">
        <is>
          <t>억원</t>
        </is>
      </c>
      <c r="D23" s="19" t="n">
        <v>35.71458</v>
      </c>
      <c r="E23" s="19" t="n">
        <v>45.83276</v>
      </c>
      <c r="F23" s="19" t="n">
        <v>53.90911</v>
      </c>
      <c r="G23" s="19" t="n">
        <v>59.76686</v>
      </c>
      <c r="H23" s="19" t="n">
        <v>75.01629</v>
      </c>
      <c r="I23" s="20" t="n">
        <v>0</v>
      </c>
      <c r="J23" s="20" t="n">
        <v>0</v>
      </c>
      <c r="K23" s="20" t="n">
        <v>0</v>
      </c>
      <c r="L23" s="20" t="n">
        <v>0</v>
      </c>
      <c r="M23" s="20" t="n">
        <v>0</v>
      </c>
    </row>
    <row r="24">
      <c r="A24" s="26" t="inlineStr">
        <is>
          <t>감가상각 증가율</t>
        </is>
      </c>
      <c r="B24" s="2" t="inlineStr">
        <is>
          <t>dep_g</t>
        </is>
      </c>
      <c r="C24" s="2" t="inlineStr">
        <is>
          <t>%</t>
        </is>
      </c>
      <c r="D24" s="24" t="n">
        <v>0</v>
      </c>
      <c r="E24" s="24" t="n">
        <v>0</v>
      </c>
      <c r="F24" s="24" t="n">
        <v>0</v>
      </c>
      <c r="G24" s="24" t="n">
        <v>0</v>
      </c>
      <c r="H24" s="24" t="n">
        <v>0</v>
      </c>
      <c r="I24" s="25" t="n">
        <v>0.35</v>
      </c>
      <c r="J24" s="25" t="n">
        <v>0.25</v>
      </c>
      <c r="K24" s="25" t="n">
        <v>0.15</v>
      </c>
      <c r="L24" s="25" t="n">
        <v>0.1</v>
      </c>
      <c r="M24" s="25" t="n">
        <v>0.08</v>
      </c>
    </row>
    <row r="25">
      <c r="A25" s="23" t="inlineStr">
        <is>
          <t>기타비용</t>
        </is>
      </c>
      <c r="B25" s="2" t="inlineStr">
        <is>
          <t>other_cost</t>
        </is>
      </c>
      <c r="C25" s="2" t="inlineStr">
        <is>
          <t>억원</t>
        </is>
      </c>
      <c r="D25" s="16">
        <f>IF((D26&gt;0),D26,(D28*D27))</f>
        <v/>
      </c>
      <c r="E25" s="16">
        <f>IF((E26&gt;0),E26,(E28*E27))</f>
        <v/>
      </c>
      <c r="F25" s="16">
        <f>IF((F26&gt;0),F26,(F28*F27))</f>
        <v/>
      </c>
      <c r="G25" s="16">
        <f>IF((G26&gt;0),G26,(G28*G27))</f>
        <v/>
      </c>
      <c r="H25" s="16">
        <f>IF((H26&gt;0),H26,(H28*H27))</f>
        <v/>
      </c>
      <c r="I25" s="17">
        <f>IF((I26&gt;0),I26,(I28*I27))</f>
        <v/>
      </c>
      <c r="J25" s="17">
        <f>IF((J26&gt;0),J26,(J28*J27))</f>
        <v/>
      </c>
      <c r="K25" s="17">
        <f>IF((K26&gt;0),K26,(K28*K27))</f>
        <v/>
      </c>
      <c r="L25" s="17">
        <f>IF((L26&gt;0),L26,(L28*L27))</f>
        <v/>
      </c>
      <c r="M25" s="17">
        <f>IF((M26&gt;0),M26,(M28*M27))</f>
        <v/>
      </c>
    </row>
    <row r="26">
      <c r="A26" s="26" t="inlineStr">
        <is>
          <t>기타비용 실적</t>
        </is>
      </c>
      <c r="B26" s="2" t="inlineStr">
        <is>
          <t>other_actual</t>
        </is>
      </c>
      <c r="C26" s="2" t="inlineStr">
        <is>
          <t>억원</t>
        </is>
      </c>
      <c r="D26" s="19" t="n">
        <v>1611.4808117</v>
      </c>
      <c r="E26" s="19" t="n">
        <v>1785.00435726</v>
      </c>
      <c r="F26" s="19" t="n">
        <v>1628.70819668</v>
      </c>
      <c r="G26" s="19" t="n">
        <v>1706.66660828</v>
      </c>
      <c r="H26" s="19" t="n">
        <v>2250.33474673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</row>
    <row r="27">
      <c r="A27" s="26" t="inlineStr">
        <is>
          <t>기타비용률</t>
        </is>
      </c>
      <c r="B27" s="2" t="inlineStr">
        <is>
          <t>other_ratio</t>
        </is>
      </c>
      <c r="C27" s="2" t="inlineStr">
        <is>
          <t>%</t>
        </is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5" t="n">
        <v>0.83</v>
      </c>
      <c r="J27" s="25" t="n">
        <v>0.825</v>
      </c>
      <c r="K27" s="25" t="n">
        <v>0.82</v>
      </c>
      <c r="L27" s="25" t="n">
        <v>0.8149999999999999</v>
      </c>
      <c r="M27" s="25" t="n">
        <v>0.8100000000000001</v>
      </c>
    </row>
    <row r="28">
      <c r="A28" s="22" t="inlineStr">
        <is>
          <t>매출</t>
        </is>
      </c>
      <c r="B28" s="2" t="inlineStr">
        <is>
          <t>revenue</t>
        </is>
      </c>
      <c r="C28" s="2" t="inlineStr">
        <is>
          <t>억원</t>
        </is>
      </c>
      <c r="D28" s="16">
        <f>(D29*D32)</f>
        <v/>
      </c>
      <c r="E28" s="16">
        <f>(E29*E32)</f>
        <v/>
      </c>
      <c r="F28" s="16">
        <f>(F29*F32)</f>
        <v/>
      </c>
      <c r="G28" s="16">
        <f>(G29*G32)</f>
        <v/>
      </c>
      <c r="H28" s="16">
        <f>(H29*H32)</f>
        <v/>
      </c>
      <c r="I28" s="17">
        <f>(I29*I32)</f>
        <v/>
      </c>
      <c r="J28" s="17">
        <f>(J29*J32)</f>
        <v/>
      </c>
      <c r="K28" s="17">
        <f>(K29*K32)</f>
        <v/>
      </c>
      <c r="L28" s="17">
        <f>(L29*L32)</f>
        <v/>
      </c>
      <c r="M28" s="17">
        <f>(M29*M32)</f>
        <v/>
      </c>
    </row>
    <row r="29">
      <c r="A29" s="23" t="inlineStr">
        <is>
          <t>출하량</t>
        </is>
      </c>
      <c r="B29" s="2" t="inlineStr">
        <is>
          <t>qty</t>
        </is>
      </c>
      <c r="C29" s="2" t="inlineStr">
        <is>
          <t>천㎡</t>
        </is>
      </c>
      <c r="D29" s="16">
        <f>(D30*D31)</f>
        <v/>
      </c>
      <c r="E29" s="16">
        <f>(E30*E31)</f>
        <v/>
      </c>
      <c r="F29" s="16">
        <f>(F30*F31)</f>
        <v/>
      </c>
      <c r="G29" s="16">
        <f>(G30*G31)</f>
        <v/>
      </c>
      <c r="H29" s="16">
        <f>(H30*H31)</f>
        <v/>
      </c>
      <c r="I29" s="17">
        <f>(I30*I31)</f>
        <v/>
      </c>
      <c r="J29" s="17">
        <f>(J30*J31)</f>
        <v/>
      </c>
      <c r="K29" s="17">
        <f>(K30*K31)</f>
        <v/>
      </c>
      <c r="L29" s="17">
        <f>(L30*L31)</f>
        <v/>
      </c>
      <c r="M29" s="17">
        <f>(M30*M31)</f>
        <v/>
      </c>
    </row>
    <row r="30">
      <c r="A30" s="26" t="inlineStr">
        <is>
          <t>생산능력</t>
        </is>
      </c>
      <c r="B30" s="2" t="inlineStr">
        <is>
          <t>capacity</t>
        </is>
      </c>
      <c r="C30" s="2" t="inlineStr">
        <is>
          <t>천㎡</t>
        </is>
      </c>
      <c r="D30" s="19" t="n">
        <v>342</v>
      </c>
      <c r="E30" s="19" t="n">
        <v>348</v>
      </c>
      <c r="F30" s="19" t="n">
        <v>348</v>
      </c>
      <c r="G30" s="19" t="n">
        <v>348</v>
      </c>
      <c r="H30" s="19" t="n">
        <v>348</v>
      </c>
      <c r="I30" s="20" t="n">
        <v>360</v>
      </c>
      <c r="J30" s="20" t="n">
        <v>400</v>
      </c>
      <c r="K30" s="20" t="n">
        <v>430</v>
      </c>
      <c r="L30" s="20" t="n">
        <v>450</v>
      </c>
      <c r="M30" s="20" t="n">
        <v>460</v>
      </c>
    </row>
    <row r="31">
      <c r="A31" s="26" t="inlineStr">
        <is>
          <t>가동률</t>
        </is>
      </c>
      <c r="B31" s="2" t="inlineStr">
        <is>
          <t>util</t>
        </is>
      </c>
      <c r="C31" s="2" t="inlineStr">
        <is>
          <t>%</t>
        </is>
      </c>
      <c r="D31" s="24" t="n">
        <v>0.860946317519296</v>
      </c>
      <c r="E31" s="24" t="n">
        <v>0.8028427797711249</v>
      </c>
      <c r="F31" s="24" t="n">
        <v>0.6552676032886309</v>
      </c>
      <c r="G31" s="24" t="n">
        <v>0.613460265575915</v>
      </c>
      <c r="H31" s="24" t="n">
        <v>0.6780144209429898</v>
      </c>
      <c r="I31" s="25" t="n">
        <v>0.717</v>
      </c>
      <c r="J31" s="25" t="n">
        <v>0.74</v>
      </c>
      <c r="K31" s="25" t="n">
        <v>0.75</v>
      </c>
      <c r="L31" s="25" t="n">
        <v>0.77</v>
      </c>
      <c r="M31" s="25" t="n">
        <v>0.78</v>
      </c>
    </row>
    <row r="32">
      <c r="A32" s="23" t="inlineStr">
        <is>
          <t>단가</t>
        </is>
      </c>
      <c r="B32" s="2" t="inlineStr">
        <is>
          <t>price</t>
        </is>
      </c>
      <c r="C32" s="2" t="inlineStr">
        <is>
          <t>억원/천㎡</t>
        </is>
      </c>
      <c r="D32" s="19" t="n">
        <v>6.04869</v>
      </c>
      <c r="E32" s="19" t="n">
        <v>7.92973</v>
      </c>
      <c r="F32" s="19" t="n">
        <v>7.51236</v>
      </c>
      <c r="G32" s="19" t="n">
        <v>8.4316</v>
      </c>
      <c r="H32" s="19" t="n">
        <v>10.95566</v>
      </c>
      <c r="I32" s="20" t="n">
        <v>14.15</v>
      </c>
      <c r="J32" s="20" t="n">
        <v>15.57</v>
      </c>
      <c r="K32" s="20" t="n">
        <v>16.04</v>
      </c>
      <c r="L32" s="20" t="n">
        <v>16.36</v>
      </c>
      <c r="M32" s="20" t="n">
        <v>16.69</v>
      </c>
    </row>
    <row r="33">
      <c r="A33" s="15" t="inlineStr">
        <is>
          <t>순차입금</t>
        </is>
      </c>
      <c r="B33" s="2" t="inlineStr">
        <is>
          <t>net_debt</t>
        </is>
      </c>
      <c r="C33" s="2" t="inlineStr">
        <is>
          <t>억원</t>
        </is>
      </c>
      <c r="D33" s="19" t="n">
        <v>70.03945403</v>
      </c>
      <c r="E33" s="19" t="n">
        <v>-52.71277978</v>
      </c>
      <c r="F33" s="19" t="n">
        <v>298.34463868</v>
      </c>
      <c r="G33" s="19" t="n">
        <v>334.64758095</v>
      </c>
      <c r="H33" s="19" t="n">
        <v>617.63877813</v>
      </c>
      <c r="I33" s="20" t="n">
        <v>617.63877813</v>
      </c>
      <c r="J33" s="20" t="n">
        <v>617.63877813</v>
      </c>
      <c r="K33" s="20" t="n">
        <v>617.63877813</v>
      </c>
      <c r="L33" s="20" t="n">
        <v>617.63877813</v>
      </c>
      <c r="M33" s="20" t="n">
        <v>617.63877813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6" customWidth="1" min="3" max="3"/>
    <col width="60" customWidth="1" min="4" max="4"/>
    <col width="60" customWidth="1" min="5" max="5"/>
  </cols>
  <sheetData>
    <row r="1">
      <c r="A1" s="1" t="inlineStr">
        <is>
          <t>수식 감사</t>
        </is>
      </c>
    </row>
    <row r="2">
      <c r="A2" s="2" t="inlineStr">
        <is>
          <t>모델 원식 ↔ Excel 셀 수식 대조. 변환은 엔진의 astToExcel이 담당한다.</t>
        </is>
      </c>
    </row>
    <row r="4">
      <c r="A4" s="3" t="inlineStr">
        <is>
          <t>노드 id</t>
        </is>
      </c>
      <c r="B4" s="3" t="inlineStr">
        <is>
          <t>계정</t>
        </is>
      </c>
      <c r="C4" s="3" t="inlineStr">
        <is>
          <t>행</t>
        </is>
      </c>
      <c r="D4" s="3" t="inlineStr">
        <is>
          <t>모델 원식</t>
        </is>
      </c>
      <c r="E4" s="3" t="inlineStr">
        <is>
          <t>첫 추정연도 셀 수식</t>
        </is>
      </c>
    </row>
    <row r="5">
      <c r="A5" s="2" t="inlineStr">
        <is>
          <t>root</t>
        </is>
      </c>
      <c r="B5" s="5" t="inlineStr">
        <is>
          <t>적정 시가총액</t>
        </is>
      </c>
      <c r="C5" s="2" t="n">
        <v>5</v>
      </c>
      <c r="D5" s="28" t="inlineStr">
        <is>
          <t>ev_value - net_debt</t>
        </is>
      </c>
      <c r="E5" s="11" t="inlineStr">
        <is>
          <t>'=(I6-I33)</t>
        </is>
      </c>
    </row>
    <row r="6">
      <c r="A6" s="2" t="inlineStr">
        <is>
          <t>ev_value</t>
        </is>
      </c>
      <c r="B6" s="5" t="inlineStr">
        <is>
          <t>사업가치 (EV)</t>
        </is>
      </c>
      <c r="C6" s="2" t="n">
        <v>6</v>
      </c>
      <c r="D6" s="28" t="inlineStr">
        <is>
          <t>ebitda * target_ev_ebitda</t>
        </is>
      </c>
      <c r="E6" s="11" t="inlineStr">
        <is>
          <t>'=(I8*I7)</t>
        </is>
      </c>
    </row>
    <row r="7">
      <c r="A7" s="2" t="inlineStr">
        <is>
          <t>ebitda</t>
        </is>
      </c>
      <c r="B7" s="5" t="inlineStr">
        <is>
          <t>EBITDA</t>
        </is>
      </c>
      <c r="C7" s="2" t="n">
        <v>8</v>
      </c>
      <c r="D7" s="28" t="inlineStr">
        <is>
          <t>op_profit + dep_total</t>
        </is>
      </c>
      <c r="E7" s="11" t="inlineStr">
        <is>
          <t>'=(I9+I22)</t>
        </is>
      </c>
    </row>
    <row r="8">
      <c r="A8" s="2" t="inlineStr">
        <is>
          <t>op_profit</t>
        </is>
      </c>
      <c r="B8" s="5" t="inlineStr">
        <is>
          <t>영업이익</t>
        </is>
      </c>
      <c r="C8" s="2" t="n">
        <v>9</v>
      </c>
      <c r="D8" s="28" t="inlineStr">
        <is>
          <t>revenue - total_cost</t>
        </is>
      </c>
      <c r="E8" s="11" t="inlineStr">
        <is>
          <t>'=(I28-I21)</t>
        </is>
      </c>
    </row>
    <row r="9">
      <c r="A9" s="2" t="inlineStr">
        <is>
          <t>net_income</t>
        </is>
      </c>
      <c r="B9" s="5" t="inlineStr">
        <is>
          <t>지배주주 순이익 (참고)</t>
        </is>
      </c>
      <c r="C9" s="2" t="n">
        <v>10</v>
      </c>
      <c r="D9" s="28" t="inlineStr">
        <is>
          <t>IF(ni_hist &gt; 0, ni_actual, (op_profit + nonop) * (1 - tax_rate) * ctrl_ratio)</t>
        </is>
      </c>
      <c r="E9" s="11" t="inlineStr">
        <is>
          <t>'=IF((I11&gt;0),I12,(((I9+I13)*(1-I14))*I15))</t>
        </is>
      </c>
    </row>
    <row r="10">
      <c r="A10" s="2" t="inlineStr">
        <is>
          <t>eps</t>
        </is>
      </c>
      <c r="B10" s="5" t="inlineStr">
        <is>
          <t>EPS (참고)</t>
        </is>
      </c>
      <c r="C10" s="2" t="n">
        <v>16</v>
      </c>
      <c r="D10" s="28" t="inlineStr">
        <is>
          <t>net_income / shares * 100</t>
        </is>
      </c>
      <c r="E10" s="11" t="inlineStr">
        <is>
          <t>'=((I10/I17)*100)</t>
        </is>
      </c>
    </row>
    <row r="11">
      <c r="A11" s="2" t="inlineStr">
        <is>
          <t>dps</t>
        </is>
      </c>
      <c r="B11" s="5" t="inlineStr">
        <is>
          <t>DPS (참고)</t>
        </is>
      </c>
      <c r="C11" s="2" t="n">
        <v>18</v>
      </c>
      <c r="D11" s="28" t="inlineStr">
        <is>
          <t>IF(ni_hist &gt; 0, dps_a, eps * payout)</t>
        </is>
      </c>
      <c r="E11" s="11" t="inlineStr">
        <is>
          <t>'=IF((I11&gt;0),I19,(I16*I20))</t>
        </is>
      </c>
    </row>
    <row r="12">
      <c r="A12" s="2" t="inlineStr">
        <is>
          <t>total_cost</t>
        </is>
      </c>
      <c r="B12" s="5" t="inlineStr">
        <is>
          <t>총비용</t>
        </is>
      </c>
      <c r="C12" s="2" t="n">
        <v>21</v>
      </c>
      <c r="D12" s="28" t="inlineStr">
        <is>
          <t>dep_total + other_cost</t>
        </is>
      </c>
      <c r="E12" s="11" t="inlineStr">
        <is>
          <t>'=(I22+I25)</t>
        </is>
      </c>
    </row>
    <row r="13">
      <c r="A13" s="2" t="inlineStr">
        <is>
          <t>dep_total</t>
        </is>
      </c>
      <c r="B13" s="5" t="inlineStr">
        <is>
          <t>감가상각비</t>
        </is>
      </c>
      <c r="C13" s="2" t="n">
        <v>22</v>
      </c>
      <c r="D13" s="28" t="inlineStr">
        <is>
          <t>IF(dep_actual &gt; 0, dep_actual, PREV(dep_total) * (1 + dep_g))</t>
        </is>
      </c>
      <c r="E13" s="11" t="inlineStr">
        <is>
          <t>'=IF((I23&gt;0),I23,(H22*(1+I24)))</t>
        </is>
      </c>
    </row>
    <row r="14">
      <c r="A14" s="2" t="inlineStr">
        <is>
          <t>other_cost</t>
        </is>
      </c>
      <c r="B14" s="5" t="inlineStr">
        <is>
          <t>기타비용</t>
        </is>
      </c>
      <c r="C14" s="2" t="n">
        <v>25</v>
      </c>
      <c r="D14" s="28" t="inlineStr">
        <is>
          <t>IF(other_actual &gt; 0, other_actual, revenue * other_ratio)</t>
        </is>
      </c>
      <c r="E14" s="11" t="inlineStr">
        <is>
          <t>'=IF((I26&gt;0),I26,(I28*I27))</t>
        </is>
      </c>
    </row>
    <row r="15">
      <c r="A15" s="2" t="inlineStr">
        <is>
          <t>revenue</t>
        </is>
      </c>
      <c r="B15" s="5" t="inlineStr">
        <is>
          <t>매출</t>
        </is>
      </c>
      <c r="C15" s="2" t="n">
        <v>28</v>
      </c>
      <c r="D15" s="28" t="inlineStr">
        <is>
          <t>qty * price</t>
        </is>
      </c>
      <c r="E15" s="11" t="inlineStr">
        <is>
          <t>'=(I29*I32)</t>
        </is>
      </c>
    </row>
    <row r="16">
      <c r="A16" s="2" t="inlineStr">
        <is>
          <t>qty</t>
        </is>
      </c>
      <c r="B16" s="5" t="inlineStr">
        <is>
          <t>출하량</t>
        </is>
      </c>
      <c r="C16" s="2" t="n">
        <v>29</v>
      </c>
      <c r="D16" s="28" t="inlineStr">
        <is>
          <t>capacity * util</t>
        </is>
      </c>
      <c r="E16" s="11" t="inlineStr">
        <is>
          <t>'=(I30*I31)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" customWidth="1" min="3" max="3"/>
    <col width="12" customWidth="1" min="4" max="4"/>
    <col width="9" customWidth="1" min="5" max="5"/>
    <col width="7" customWidth="1" min="6" max="6"/>
    <col width="12" customWidth="1" min="7" max="7"/>
  </cols>
  <sheetData>
    <row r="1">
      <c r="A1" s="1" t="inlineStr">
        <is>
          <t>트리 구조</t>
        </is>
      </c>
    </row>
    <row r="3">
      <c r="A3" s="3" t="inlineStr">
        <is>
          <t>노드 id</t>
        </is>
      </c>
      <c r="B3" s="3" t="inlineStr">
        <is>
          <t>계정</t>
        </is>
      </c>
      <c r="C3" s="3" t="inlineStr">
        <is>
          <t>깊이</t>
        </is>
      </c>
      <c r="D3" s="3" t="inlineStr">
        <is>
          <t>유형</t>
        </is>
      </c>
      <c r="E3" s="3" t="inlineStr">
        <is>
          <t>합계형</t>
        </is>
      </c>
      <c r="F3" s="3" t="inlineStr">
        <is>
          <t>행</t>
        </is>
      </c>
      <c r="G3" s="3" t="inlineStr">
        <is>
          <t>단위</t>
        </is>
      </c>
    </row>
    <row r="4">
      <c r="A4" s="2" t="inlineStr">
        <is>
          <t>root</t>
        </is>
      </c>
      <c r="B4" t="inlineStr">
        <is>
          <t>적정 시가총액</t>
        </is>
      </c>
      <c r="C4" t="n">
        <v>0</v>
      </c>
      <c r="D4" t="inlineStr">
        <is>
          <t>computed</t>
        </is>
      </c>
      <c r="E4" t="inlineStr"/>
      <c r="F4" t="n">
        <v>5</v>
      </c>
      <c r="G4" t="inlineStr">
        <is>
          <t>억원</t>
        </is>
      </c>
    </row>
    <row r="5">
      <c r="A5" s="2" t="inlineStr">
        <is>
          <t>ev_value</t>
        </is>
      </c>
      <c r="B5" s="29" t="inlineStr">
        <is>
          <t>사업가치 (EV)</t>
        </is>
      </c>
      <c r="C5" t="n">
        <v>1</v>
      </c>
      <c r="D5" t="inlineStr">
        <is>
          <t>computed</t>
        </is>
      </c>
      <c r="E5" t="inlineStr"/>
      <c r="F5" t="n">
        <v>6</v>
      </c>
      <c r="G5" t="inlineStr">
        <is>
          <t>억원</t>
        </is>
      </c>
    </row>
    <row r="6">
      <c r="A6" s="2" t="inlineStr">
        <is>
          <t>target_ev_ebitda</t>
        </is>
      </c>
      <c r="B6" s="30" t="inlineStr">
        <is>
          <t>목표 EV/EBITDA</t>
        </is>
      </c>
      <c r="C6" t="n">
        <v>2</v>
      </c>
      <c r="D6" t="inlineStr">
        <is>
          <t>input</t>
        </is>
      </c>
      <c r="E6" t="inlineStr"/>
      <c r="F6" t="n">
        <v>7</v>
      </c>
      <c r="G6" t="inlineStr">
        <is>
          <t>배</t>
        </is>
      </c>
    </row>
    <row r="7">
      <c r="A7" s="2" t="inlineStr">
        <is>
          <t>ebitda</t>
        </is>
      </c>
      <c r="B7" s="30" t="inlineStr">
        <is>
          <t>EBITDA</t>
        </is>
      </c>
      <c r="C7" t="n">
        <v>2</v>
      </c>
      <c r="D7" t="inlineStr">
        <is>
          <t>computed</t>
        </is>
      </c>
      <c r="E7" t="inlineStr"/>
      <c r="F7" t="n">
        <v>8</v>
      </c>
      <c r="G7" t="inlineStr">
        <is>
          <t>억원</t>
        </is>
      </c>
    </row>
    <row r="8">
      <c r="A8" s="2" t="inlineStr">
        <is>
          <t>op_profit</t>
        </is>
      </c>
      <c r="B8" s="31" t="inlineStr">
        <is>
          <t>영업이익</t>
        </is>
      </c>
      <c r="C8" t="n">
        <v>3</v>
      </c>
      <c r="D8" t="inlineStr">
        <is>
          <t>computed</t>
        </is>
      </c>
      <c r="E8" t="inlineStr"/>
      <c r="F8" t="n">
        <v>9</v>
      </c>
      <c r="G8" t="inlineStr">
        <is>
          <t>억원</t>
        </is>
      </c>
    </row>
    <row r="9">
      <c r="A9" s="2" t="inlineStr">
        <is>
          <t>net_income</t>
        </is>
      </c>
      <c r="B9" s="32" t="inlineStr">
        <is>
          <t>지배주주 순이익 (참고)</t>
        </is>
      </c>
      <c r="C9" t="n">
        <v>4</v>
      </c>
      <c r="D9" t="inlineStr">
        <is>
          <t>computed</t>
        </is>
      </c>
      <c r="E9" t="inlineStr"/>
      <c r="F9" t="n">
        <v>10</v>
      </c>
      <c r="G9" t="inlineStr">
        <is>
          <t>억원</t>
        </is>
      </c>
    </row>
    <row r="10">
      <c r="A10" s="2" t="inlineStr">
        <is>
          <t>ni_hist</t>
        </is>
      </c>
      <c r="B10" s="33" t="inlineStr">
        <is>
          <t>순이익 실적 마스크</t>
        </is>
      </c>
      <c r="C10" t="n">
        <v>5</v>
      </c>
      <c r="D10" t="inlineStr">
        <is>
          <t>input</t>
        </is>
      </c>
      <c r="E10" t="inlineStr"/>
      <c r="F10" t="n">
        <v>11</v>
      </c>
      <c r="G10" t="inlineStr"/>
    </row>
    <row r="11">
      <c r="A11" s="2" t="inlineStr">
        <is>
          <t>ni_actual</t>
        </is>
      </c>
      <c r="B11" s="33" t="inlineStr">
        <is>
          <t>순이익 실적</t>
        </is>
      </c>
      <c r="C11" t="n">
        <v>5</v>
      </c>
      <c r="D11" t="inlineStr">
        <is>
          <t>input</t>
        </is>
      </c>
      <c r="E11" t="inlineStr"/>
      <c r="F11" t="n">
        <v>12</v>
      </c>
      <c r="G11" t="inlineStr">
        <is>
          <t>억원</t>
        </is>
      </c>
    </row>
    <row r="12">
      <c r="A12" s="2" t="inlineStr">
        <is>
          <t>nonop</t>
        </is>
      </c>
      <c r="B12" s="33" t="inlineStr">
        <is>
          <t>영업외손익</t>
        </is>
      </c>
      <c r="C12" t="n">
        <v>5</v>
      </c>
      <c r="D12" t="inlineStr">
        <is>
          <t>input</t>
        </is>
      </c>
      <c r="E12" t="inlineStr"/>
      <c r="F12" t="n">
        <v>13</v>
      </c>
      <c r="G12" t="inlineStr">
        <is>
          <t>억원</t>
        </is>
      </c>
    </row>
    <row r="13">
      <c r="A13" s="2" t="inlineStr">
        <is>
          <t>tax_rate</t>
        </is>
      </c>
      <c r="B13" s="33" t="inlineStr">
        <is>
          <t>실효세율</t>
        </is>
      </c>
      <c r="C13" t="n">
        <v>5</v>
      </c>
      <c r="D13" t="inlineStr">
        <is>
          <t>input</t>
        </is>
      </c>
      <c r="E13" t="inlineStr"/>
      <c r="F13" t="n">
        <v>14</v>
      </c>
      <c r="G13" t="inlineStr">
        <is>
          <t>%</t>
        </is>
      </c>
    </row>
    <row r="14">
      <c r="A14" s="2" t="inlineStr">
        <is>
          <t>ctrl_ratio</t>
        </is>
      </c>
      <c r="B14" s="33" t="inlineStr">
        <is>
          <t>지배지분 비율</t>
        </is>
      </c>
      <c r="C14" t="n">
        <v>5</v>
      </c>
      <c r="D14" t="inlineStr">
        <is>
          <t>input</t>
        </is>
      </c>
      <c r="E14" t="inlineStr"/>
      <c r="F14" t="n">
        <v>15</v>
      </c>
      <c r="G14" t="inlineStr">
        <is>
          <t>%</t>
        </is>
      </c>
    </row>
    <row r="15">
      <c r="A15" s="2" t="inlineStr">
        <is>
          <t>eps</t>
        </is>
      </c>
      <c r="B15" s="33" t="inlineStr">
        <is>
          <t>EPS (참고)</t>
        </is>
      </c>
      <c r="C15" t="n">
        <v>5</v>
      </c>
      <c r="D15" t="inlineStr">
        <is>
          <t>computed</t>
        </is>
      </c>
      <c r="E15" t="inlineStr"/>
      <c r="F15" t="n">
        <v>16</v>
      </c>
      <c r="G15" t="inlineStr">
        <is>
          <t>원</t>
        </is>
      </c>
    </row>
    <row r="16">
      <c r="A16" s="2" t="inlineStr">
        <is>
          <t>shares</t>
        </is>
      </c>
      <c r="B16" s="34" t="inlineStr">
        <is>
          <t>상장주식수</t>
        </is>
      </c>
      <c r="C16" t="n">
        <v>6</v>
      </c>
      <c r="D16" t="inlineStr">
        <is>
          <t>input</t>
        </is>
      </c>
      <c r="E16" t="inlineStr"/>
      <c r="F16" t="n">
        <v>17</v>
      </c>
      <c r="G16" t="inlineStr">
        <is>
          <t>백만주</t>
        </is>
      </c>
    </row>
    <row r="17">
      <c r="A17" s="2" t="inlineStr">
        <is>
          <t>dps</t>
        </is>
      </c>
      <c r="B17" s="34" t="inlineStr">
        <is>
          <t>DPS (참고)</t>
        </is>
      </c>
      <c r="C17" t="n">
        <v>6</v>
      </c>
      <c r="D17" t="inlineStr">
        <is>
          <t>computed</t>
        </is>
      </c>
      <c r="E17" t="inlineStr"/>
      <c r="F17" t="n">
        <v>18</v>
      </c>
      <c r="G17" t="inlineStr">
        <is>
          <t>원</t>
        </is>
      </c>
    </row>
    <row r="18">
      <c r="A18" s="2" t="inlineStr">
        <is>
          <t>dps_a</t>
        </is>
      </c>
      <c r="B18" s="35" t="inlineStr">
        <is>
          <t>DPS 실적</t>
        </is>
      </c>
      <c r="C18" t="n">
        <v>7</v>
      </c>
      <c r="D18" t="inlineStr">
        <is>
          <t>input</t>
        </is>
      </c>
      <c r="E18" t="inlineStr"/>
      <c r="F18" t="n">
        <v>19</v>
      </c>
      <c r="G18" t="inlineStr">
        <is>
          <t>원</t>
        </is>
      </c>
    </row>
    <row r="19">
      <c r="A19" s="2" t="inlineStr">
        <is>
          <t>payout</t>
        </is>
      </c>
      <c r="B19" s="35" t="inlineStr">
        <is>
          <t>배당성향</t>
        </is>
      </c>
      <c r="C19" t="n">
        <v>7</v>
      </c>
      <c r="D19" t="inlineStr">
        <is>
          <t>input</t>
        </is>
      </c>
      <c r="E19" t="inlineStr"/>
      <c r="F19" t="n">
        <v>20</v>
      </c>
      <c r="G19" t="inlineStr">
        <is>
          <t>%</t>
        </is>
      </c>
    </row>
    <row r="20">
      <c r="A20" s="2" t="inlineStr">
        <is>
          <t>total_cost</t>
        </is>
      </c>
      <c r="B20" s="32" t="inlineStr">
        <is>
          <t>총비용</t>
        </is>
      </c>
      <c r="C20" t="n">
        <v>4</v>
      </c>
      <c r="D20" t="inlineStr">
        <is>
          <t>computed</t>
        </is>
      </c>
      <c r="E20" t="inlineStr">
        <is>
          <t>Y</t>
        </is>
      </c>
      <c r="F20" t="n">
        <v>21</v>
      </c>
      <c r="G20" t="inlineStr">
        <is>
          <t>억원</t>
        </is>
      </c>
    </row>
    <row r="21">
      <c r="A21" s="2" t="inlineStr">
        <is>
          <t>dep_total</t>
        </is>
      </c>
      <c r="B21" s="33" t="inlineStr">
        <is>
          <t>감가상각비</t>
        </is>
      </c>
      <c r="C21" t="n">
        <v>5</v>
      </c>
      <c r="D21" t="inlineStr">
        <is>
          <t>computed</t>
        </is>
      </c>
      <c r="E21" t="inlineStr"/>
      <c r="F21" t="n">
        <v>22</v>
      </c>
      <c r="G21" t="inlineStr">
        <is>
          <t>억원</t>
        </is>
      </c>
    </row>
    <row r="22">
      <c r="A22" s="2" t="inlineStr">
        <is>
          <t>dep_actual</t>
        </is>
      </c>
      <c r="B22" s="34" t="inlineStr">
        <is>
          <t>감가상각비 실적</t>
        </is>
      </c>
      <c r="C22" t="n">
        <v>6</v>
      </c>
      <c r="D22" t="inlineStr">
        <is>
          <t>input</t>
        </is>
      </c>
      <c r="E22" t="inlineStr"/>
      <c r="F22" t="n">
        <v>23</v>
      </c>
      <c r="G22" t="inlineStr">
        <is>
          <t>억원</t>
        </is>
      </c>
    </row>
    <row r="23">
      <c r="A23" s="2" t="inlineStr">
        <is>
          <t>dep_g</t>
        </is>
      </c>
      <c r="B23" s="34" t="inlineStr">
        <is>
          <t>감가상각 증가율</t>
        </is>
      </c>
      <c r="C23" t="n">
        <v>6</v>
      </c>
      <c r="D23" t="inlineStr">
        <is>
          <t>input</t>
        </is>
      </c>
      <c r="E23" t="inlineStr"/>
      <c r="F23" t="n">
        <v>24</v>
      </c>
      <c r="G23" t="inlineStr">
        <is>
          <t>%</t>
        </is>
      </c>
    </row>
    <row r="24">
      <c r="A24" s="2" t="inlineStr">
        <is>
          <t>other_cost</t>
        </is>
      </c>
      <c r="B24" s="33" t="inlineStr">
        <is>
          <t>기타비용</t>
        </is>
      </c>
      <c r="C24" t="n">
        <v>5</v>
      </c>
      <c r="D24" t="inlineStr">
        <is>
          <t>computed</t>
        </is>
      </c>
      <c r="E24" t="inlineStr"/>
      <c r="F24" t="n">
        <v>25</v>
      </c>
      <c r="G24" t="inlineStr">
        <is>
          <t>억원</t>
        </is>
      </c>
    </row>
    <row r="25">
      <c r="A25" s="2" t="inlineStr">
        <is>
          <t>other_actual</t>
        </is>
      </c>
      <c r="B25" s="34" t="inlineStr">
        <is>
          <t>기타비용 실적</t>
        </is>
      </c>
      <c r="C25" t="n">
        <v>6</v>
      </c>
      <c r="D25" t="inlineStr">
        <is>
          <t>input</t>
        </is>
      </c>
      <c r="E25" t="inlineStr"/>
      <c r="F25" t="n">
        <v>26</v>
      </c>
      <c r="G25" t="inlineStr">
        <is>
          <t>억원</t>
        </is>
      </c>
    </row>
    <row r="26">
      <c r="A26" s="2" t="inlineStr">
        <is>
          <t>other_ratio</t>
        </is>
      </c>
      <c r="B26" s="34" t="inlineStr">
        <is>
          <t>기타비용률</t>
        </is>
      </c>
      <c r="C26" t="n">
        <v>6</v>
      </c>
      <c r="D26" t="inlineStr">
        <is>
          <t>input</t>
        </is>
      </c>
      <c r="E26" t="inlineStr"/>
      <c r="F26" t="n">
        <v>27</v>
      </c>
      <c r="G26" t="inlineStr">
        <is>
          <t>%</t>
        </is>
      </c>
    </row>
    <row r="27">
      <c r="A27" s="2" t="inlineStr">
        <is>
          <t>revenue</t>
        </is>
      </c>
      <c r="B27" s="32" t="inlineStr">
        <is>
          <t>매출</t>
        </is>
      </c>
      <c r="C27" t="n">
        <v>4</v>
      </c>
      <c r="D27" t="inlineStr">
        <is>
          <t>computed</t>
        </is>
      </c>
      <c r="E27" t="inlineStr"/>
      <c r="F27" t="n">
        <v>28</v>
      </c>
      <c r="G27" t="inlineStr">
        <is>
          <t>억원</t>
        </is>
      </c>
    </row>
    <row r="28">
      <c r="A28" s="2" t="inlineStr">
        <is>
          <t>qty</t>
        </is>
      </c>
      <c r="B28" s="33" t="inlineStr">
        <is>
          <t>출하량</t>
        </is>
      </c>
      <c r="C28" t="n">
        <v>5</v>
      </c>
      <c r="D28" t="inlineStr">
        <is>
          <t>computed</t>
        </is>
      </c>
      <c r="E28" t="inlineStr"/>
      <c r="F28" t="n">
        <v>29</v>
      </c>
      <c r="G28" t="inlineStr">
        <is>
          <t>천㎡</t>
        </is>
      </c>
    </row>
    <row r="29">
      <c r="A29" s="2" t="inlineStr">
        <is>
          <t>capacity</t>
        </is>
      </c>
      <c r="B29" s="34" t="inlineStr">
        <is>
          <t>생산능력</t>
        </is>
      </c>
      <c r="C29" t="n">
        <v>6</v>
      </c>
      <c r="D29" t="inlineStr">
        <is>
          <t>input</t>
        </is>
      </c>
      <c r="E29" t="inlineStr"/>
      <c r="F29" t="n">
        <v>30</v>
      </c>
      <c r="G29" t="inlineStr">
        <is>
          <t>천㎡</t>
        </is>
      </c>
    </row>
    <row r="30">
      <c r="A30" s="2" t="inlineStr">
        <is>
          <t>util</t>
        </is>
      </c>
      <c r="B30" s="34" t="inlineStr">
        <is>
          <t>가동률</t>
        </is>
      </c>
      <c r="C30" t="n">
        <v>6</v>
      </c>
      <c r="D30" t="inlineStr">
        <is>
          <t>input</t>
        </is>
      </c>
      <c r="E30" t="inlineStr"/>
      <c r="F30" t="n">
        <v>31</v>
      </c>
      <c r="G30" t="inlineStr">
        <is>
          <t>%</t>
        </is>
      </c>
    </row>
    <row r="31">
      <c r="A31" s="2" t="inlineStr">
        <is>
          <t>price</t>
        </is>
      </c>
      <c r="B31" s="33" t="inlineStr">
        <is>
          <t>단가</t>
        </is>
      </c>
      <c r="C31" t="n">
        <v>5</v>
      </c>
      <c r="D31" t="inlineStr">
        <is>
          <t>input</t>
        </is>
      </c>
      <c r="E31" t="inlineStr"/>
      <c r="F31" t="n">
        <v>32</v>
      </c>
      <c r="G31" t="inlineStr">
        <is>
          <t>억원/천㎡</t>
        </is>
      </c>
    </row>
    <row r="32">
      <c r="A32" s="2" t="inlineStr">
        <is>
          <t>net_debt</t>
        </is>
      </c>
      <c r="B32" s="29" t="inlineStr">
        <is>
          <t>순차입금</t>
        </is>
      </c>
      <c r="C32" t="n">
        <v>1</v>
      </c>
      <c r="D32" t="inlineStr">
        <is>
          <t>input</t>
        </is>
      </c>
      <c r="E32" t="inlineStr"/>
      <c r="F32" t="n">
        <v>33</v>
      </c>
      <c r="G32" t="inlineStr">
        <is>
          <t>억원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검증</t>
        </is>
      </c>
    </row>
    <row r="2">
      <c r="A2" s="2" t="inlineStr">
        <is>
          <t>합계형 노드의 부모값과 자식 합의 차이. 전 칸이 0이어야 한다.</t>
        </is>
      </c>
    </row>
    <row r="3">
      <c r="D3" s="6" t="inlineStr">
        <is>
          <t>실적</t>
        </is>
      </c>
      <c r="E3" s="6" t="inlineStr">
        <is>
          <t>실적</t>
        </is>
      </c>
      <c r="F3" s="6" t="inlineStr">
        <is>
          <t>실적</t>
        </is>
      </c>
      <c r="G3" s="6" t="inlineStr">
        <is>
          <t>실적</t>
        </is>
      </c>
      <c r="H3" s="6" t="inlineStr">
        <is>
          <t>실적</t>
        </is>
      </c>
      <c r="I3" s="7" t="inlineStr">
        <is>
          <t>추정</t>
        </is>
      </c>
      <c r="J3" s="7" t="inlineStr">
        <is>
          <t>추정</t>
        </is>
      </c>
      <c r="K3" s="7" t="inlineStr">
        <is>
          <t>추정</t>
        </is>
      </c>
      <c r="L3" s="7" t="inlineStr">
        <is>
          <t>추정</t>
        </is>
      </c>
      <c r="M3" s="7" t="inlineStr">
        <is>
          <t>추정</t>
        </is>
      </c>
    </row>
    <row r="4">
      <c r="A4" s="3" t="inlineStr">
        <is>
          <t>계정</t>
        </is>
      </c>
      <c r="B4" s="3" t="inlineStr">
        <is>
          <t>검사</t>
        </is>
      </c>
      <c r="D4" s="8" t="inlineStr">
        <is>
          <t>2021A</t>
        </is>
      </c>
      <c r="E4" s="8" t="inlineStr">
        <is>
          <t>2022A</t>
        </is>
      </c>
      <c r="F4" s="8" t="inlineStr">
        <is>
          <t>2023A</t>
        </is>
      </c>
      <c r="G4" s="8" t="inlineStr">
        <is>
          <t>2024A</t>
        </is>
      </c>
      <c r="H4" s="8" t="inlineStr">
        <is>
          <t>2025A</t>
        </is>
      </c>
      <c r="I4" s="8" t="inlineStr">
        <is>
          <t>2026E</t>
        </is>
      </c>
      <c r="J4" s="8" t="inlineStr">
        <is>
          <t>2027E</t>
        </is>
      </c>
      <c r="K4" s="8" t="inlineStr">
        <is>
          <t>2028E</t>
        </is>
      </c>
      <c r="L4" s="8" t="inlineStr">
        <is>
          <t>2029E</t>
        </is>
      </c>
      <c r="M4" s="8" t="inlineStr">
        <is>
          <t>2030E</t>
        </is>
      </c>
    </row>
    <row r="5">
      <c r="A5" s="5" t="inlineStr">
        <is>
          <t>총비용</t>
        </is>
      </c>
      <c r="B5" s="2" t="inlineStr">
        <is>
          <t>부모 − 자식합</t>
        </is>
      </c>
      <c r="D5" s="36">
        <f>ROUND(Model!D21-(Model!D22+Model!D25),6)</f>
        <v/>
      </c>
      <c r="E5" s="36">
        <f>ROUND(Model!E21-(Model!E22+Model!E25),6)</f>
        <v/>
      </c>
      <c r="F5" s="36">
        <f>ROUND(Model!F21-(Model!F22+Model!F25),6)</f>
        <v/>
      </c>
      <c r="G5" s="36">
        <f>ROUND(Model!G21-(Model!G22+Model!G25),6)</f>
        <v/>
      </c>
      <c r="H5" s="36">
        <f>ROUND(Model!H21-(Model!H22+Model!H25),6)</f>
        <v/>
      </c>
      <c r="I5" s="36">
        <f>ROUND(Model!I21-(Model!I22+Model!I25),6)</f>
        <v/>
      </c>
      <c r="J5" s="36">
        <f>ROUND(Model!J21-(Model!J22+Model!J25),6)</f>
        <v/>
      </c>
      <c r="K5" s="36">
        <f>ROUND(Model!K21-(Model!K22+Model!K25),6)</f>
        <v/>
      </c>
      <c r="L5" s="36">
        <f>ROUND(Model!L21-(Model!L22+Model!L25),6)</f>
        <v/>
      </c>
      <c r="M5" s="36">
        <f>ROUND(Model!M21-(Model!M22+Model!M25),6)</f>
        <v/>
      </c>
    </row>
    <row r="7">
      <c r="A7" s="4" t="inlineStr">
        <is>
          <t>합계형 노드 수</t>
        </is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빌드 정보</t>
        </is>
      </c>
    </row>
    <row r="3">
      <c r="A3" s="4" t="inlineStr">
        <is>
          <t>소스</t>
        </is>
      </c>
      <c r="B3" t="inlineStr">
        <is>
          <t>model.html</t>
        </is>
      </c>
    </row>
    <row r="4">
      <c r="A4" s="4" t="inlineStr">
        <is>
          <t>소스 해시 (sha256 앞 16자리)</t>
        </is>
      </c>
      <c r="B4" t="inlineStr">
        <is>
          <t>f15ec97e72813ff5</t>
        </is>
      </c>
    </row>
    <row r="5">
      <c r="A5" s="4" t="inlineStr">
        <is>
          <t>빌더</t>
        </is>
      </c>
      <c r="B5" t="inlineStr">
        <is>
          <t>tools/build_excel.py</t>
        </is>
      </c>
    </row>
    <row r="6">
      <c r="A6" s="4" t="inlineStr">
        <is>
          <t>수식 변환</t>
        </is>
      </c>
      <c r="B6" t="inlineStr">
        <is>
          <t>엔진 astToExcel (JS) — 파이썬은 배치만 한다</t>
        </is>
      </c>
    </row>
    <row r="7">
      <c r="A7" s="4" t="inlineStr">
        <is>
          <t>노드 수</t>
        </is>
      </c>
      <c r="B7" t="n">
        <v>29</v>
      </c>
    </row>
    <row r="8">
      <c r="A8" s="4" t="inlineStr">
        <is>
          <t>입력 노드 수</t>
        </is>
      </c>
      <c r="B8" t="n">
        <v>17</v>
      </c>
    </row>
    <row r="9">
      <c r="A9" s="4" t="inlineStr">
        <is>
          <t>연도 수</t>
        </is>
      </c>
      <c r="B9" t="n">
        <v>10</v>
      </c>
    </row>
    <row r="10">
      <c r="A10" s="4" t="inlineStr">
        <is>
          <t>HIST_N</t>
        </is>
      </c>
      <c r="B10" t="n">
        <v>5</v>
      </c>
    </row>
    <row r="11">
      <c r="A11" s="4" t="inlineStr">
        <is>
          <t>모델 id</t>
        </is>
      </c>
      <c r="B11" t="inlineStr">
        <is>
          <t>tlb_qp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tools/build_excel.py</dc:creator>
  <dcterms:created xsi:type="dcterms:W3CDTF">2000-01-01T00:00:00Z</dcterms:created>
  <dcterms:modified xsi:type="dcterms:W3CDTF">2000-01-01T00:00:00Z</dcterms:modified>
</cp:coreProperties>
</file>
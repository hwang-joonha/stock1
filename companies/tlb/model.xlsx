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티엘비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티엘비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출하량×단가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12</v>
      </c>
      <c r="E5" s="9" t="n">
        <v>12</v>
      </c>
      <c r="F5" s="9" t="n">
        <v>12</v>
      </c>
      <c r="G5" s="9" t="n">
        <v>12</v>
      </c>
      <c r="H5" s="9" t="n">
        <v>12</v>
      </c>
      <c r="I5" s="10" t="n">
        <v>12</v>
      </c>
      <c r="J5" s="10" t="n">
        <v>12</v>
      </c>
      <c r="K5" s="10" t="n">
        <v>12</v>
      </c>
      <c r="L5" s="10" t="n">
        <v>12</v>
      </c>
      <c r="M5" s="10" t="n">
        <v>12</v>
      </c>
      <c r="N5" s="11" t="inlineStr">
        <is>
          <t>[주관·시나리오] 12배. 이 모델에서 가장 강력한 단일 가정이다. 국내 기판 피어의 2026 컨센서스가 14.1~21.3배이고 티엘비 자신이 15.3배이나, 그 배수들은 **사이클 상단에서 형성된 값**이다. 2023~2024년 이 회사의 영업이익률은 1.8%·1.9%였고 그때 배수는 의미를 갖지 못했다. 사이클 중립 EBITDA에 적용할 배수로 12배를 택했다 — 성숙 부품사(3.5~6.2배)보다 확실히 높되 현재 피어 하단(14.1배)보다 낮은 자리다.</t>
        </is>
      </c>
    </row>
    <row r="6">
      <c r="A6" s="5" t="inlineStr">
        <is>
          <t>감가상각비 실적</t>
        </is>
      </c>
      <c r="B6" s="2" t="inlineStr">
        <is>
          <t>dep_actual</t>
        </is>
      </c>
      <c r="C6" s="2" t="inlineStr">
        <is>
          <t>억원</t>
        </is>
      </c>
      <c r="D6" s="9" t="n">
        <v>35.71458</v>
      </c>
      <c r="E6" s="9" t="n">
        <v>45.83276</v>
      </c>
      <c r="F6" s="9" t="n">
        <v>53.90911</v>
      </c>
      <c r="G6" s="9" t="n">
        <v>59.76686</v>
      </c>
      <c r="H6" s="9" t="n">
        <v>75.01629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네 개 사업보고서의 당기/전기가 연쇄적으로 일치해 교차검증됐다.</t>
        </is>
      </c>
    </row>
    <row r="7">
      <c r="A7" s="5" t="inlineStr">
        <is>
          <t>감가상각 증가율</t>
        </is>
      </c>
      <c r="B7" s="2" t="inlineStr">
        <is>
          <t>dep_g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0.35</v>
      </c>
      <c r="J7" s="13" t="n">
        <v>0.25</v>
      </c>
      <c r="K7" s="13" t="n">
        <v>0.15</v>
      </c>
      <c r="L7" s="13" t="n">
        <v>0.1</v>
      </c>
      <c r="M7" s="13" t="n">
        <v>0.08</v>
      </c>
      <c r="N7" s="11" t="inlineStr">
        <is>
          <t>[주관] 2025년 CAPEX가 368.8억으로 감가상각비(75.0억)의 **4.9배**다. 증설이 진행 중이라는 뜻이고, 그 투자분이 2026~2027년에 상각으로 들어온다. 실적 4년 연평균 +20.4%에서 2026년을 +35%로 올린 근거가 이것이다. 생산능력 가정과 방향이 일치해야 한다 — 능력을 늘리면서 상각이 늘지 않는 모델은 성립하지 않는다.</t>
        </is>
      </c>
    </row>
    <row r="8">
      <c r="A8" s="5" t="inlineStr">
        <is>
          <t>기타비용 실적</t>
        </is>
      </c>
      <c r="B8" s="2" t="inlineStr">
        <is>
          <t>other_actual</t>
        </is>
      </c>
      <c r="C8" s="2" t="inlineStr">
        <is>
          <t>억원</t>
        </is>
      </c>
      <c r="D8" s="9" t="n">
        <v>1611.4808117</v>
      </c>
      <c r="E8" s="9" t="n">
        <v>1785.00435726</v>
      </c>
      <c r="F8" s="9" t="n">
        <v>1628.70819668</v>
      </c>
      <c r="G8" s="9" t="n">
        <v>1706.66660828</v>
      </c>
      <c r="H8" s="9" t="n">
        <v>2250.33474673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[객관] 확정값에서 역산. 세 항목 모두 공시값이라 결과도 확정이다.</t>
        </is>
      </c>
    </row>
    <row r="9">
      <c r="A9" s="5" t="inlineStr">
        <is>
          <t>기타비용률</t>
        </is>
      </c>
      <c r="B9" s="2" t="inlineStr">
        <is>
          <t>other_ratio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0.83</v>
      </c>
      <c r="J9" s="13" t="n">
        <v>0.825</v>
      </c>
      <c r="K9" s="13" t="n">
        <v>0.82</v>
      </c>
      <c r="L9" s="13" t="n">
        <v>0.8149999999999999</v>
      </c>
      <c r="M9" s="13" t="n">
        <v>0.8100000000000001</v>
      </c>
      <c r="N9" s="11" t="inlineStr">
        <is>
          <t>[주관] 매출 대비 기타비용. 실적 90.5 → 80.6 → 95.1 → 94.8 → 87.1%로 **사이클에 따라 15%p나 흔들린다** — 고정비 비중이 높은 장치산업의 특징이다. 2026 상반기 실적(매출 1,640.8억 · 영업이익 234.9억)에서 역산하면 82.9% 수준이라 2026년을 83.0%로 두고 연 0.5%p씩만 개선한다고 봤다. 2022년 저점(80.6%)까지 가는 것은 Bull에서만 가정한다.</t>
        </is>
      </c>
    </row>
    <row r="10">
      <c r="A10" s="5" t="inlineStr">
        <is>
          <t>생산능력</t>
        </is>
      </c>
      <c r="B10" s="2" t="inlineStr">
        <is>
          <t>capacity</t>
        </is>
      </c>
      <c r="C10" s="2" t="inlineStr">
        <is>
          <t>천㎡</t>
        </is>
      </c>
      <c r="D10" s="9" t="n">
        <v>342</v>
      </c>
      <c r="E10" s="9" t="n">
        <v>348</v>
      </c>
      <c r="F10" s="9" t="n">
        <v>348</v>
      </c>
      <c r="G10" s="9" t="n">
        <v>348</v>
      </c>
      <c r="H10" s="9" t="n">
        <v>348</v>
      </c>
      <c r="I10" s="10" t="n">
        <v>360</v>
      </c>
      <c r="J10" s="10" t="n">
        <v>400</v>
      </c>
      <c r="K10" s="10" t="n">
        <v>430</v>
      </c>
      <c r="L10" s="10" t="n">
        <v>450</v>
      </c>
      <c r="M10" s="10" t="n">
        <v>460</v>
      </c>
      <c r="N10" s="11" t="inlineStr">
        <is>
          <t>[객관 실적 / 주관 추정] 공시 기준 월 29,000㎡ × 12개월 = 348천㎡로 2022년 이후 **4년째 고정**이다. 이것이 이 모델의 상한선이고, 증설 없이는 물량이 348천㎡를 넘을 수 없다. 추정 구간은 2025년 CAPEX 368.8억(감가상각의 4.9배)을 근거로 늘렸으나 **회사가 증설 계획을 수치로 공시하지 않아 이 부분은 판단이다**. 민감도 뷰에서 영향도를 확인할 것.</t>
        </is>
      </c>
    </row>
    <row r="11">
      <c r="A11" s="5" t="inlineStr">
        <is>
          <t>가동률</t>
        </is>
      </c>
      <c r="B11" s="2" t="inlineStr">
        <is>
          <t>util</t>
        </is>
      </c>
      <c r="C11" s="2" t="inlineStr">
        <is>
          <t>%</t>
        </is>
      </c>
      <c r="D11" s="12" t="n">
        <v>0.860946317519296</v>
      </c>
      <c r="E11" s="12" t="n">
        <v>0.8028427797711249</v>
      </c>
      <c r="F11" s="12" t="n">
        <v>0.6552676032886309</v>
      </c>
      <c r="G11" s="12" t="n">
        <v>0.613460265575915</v>
      </c>
      <c r="H11" s="12" t="n">
        <v>0.6780144209429898</v>
      </c>
      <c r="I11" s="13" t="n">
        <v>0.7</v>
      </c>
      <c r="J11" s="13" t="n">
        <v>0.72</v>
      </c>
      <c r="K11" s="13" t="n">
        <v>0.74</v>
      </c>
      <c r="L11" s="13" t="n">
        <v>0.76</v>
      </c>
      <c r="M11" s="13" t="n">
        <v>0.78</v>
      </c>
      <c r="N11" s="11" t="inlineStr">
        <is>
          <t>[객관 실적 / 주관 추정] 출하량 ÷ 생산능력. 실적 86.1 → 80.3 → 65.5 → 61.3 → 67.8%. 공시의 가동률(생산실적 기준)과는 재고 변동만큼 다르다. 2026 상반기 실적에서 역산한 연환산 가동률이 69.3%라 2026년을 70.0%로 두고 연 2%p씩 올렸다. **2021년 수준(86.1%) 복귀는 가정하지 않았다** — 그 회복이 이 종목의 가장 큰 상방이고 Bull에서만 반영한다.</t>
        </is>
      </c>
    </row>
    <row r="12">
      <c r="A12" s="5" t="inlineStr">
        <is>
          <t>단가</t>
        </is>
      </c>
      <c r="B12" s="2" t="inlineStr">
        <is>
          <t>price</t>
        </is>
      </c>
      <c r="C12" s="2" t="inlineStr">
        <is>
          <t>억원/천㎡</t>
        </is>
      </c>
      <c r="D12" s="9" t="n">
        <v>6.04869</v>
      </c>
      <c r="E12" s="9" t="n">
        <v>7.92973</v>
      </c>
      <c r="F12" s="9" t="n">
        <v>7.51236</v>
      </c>
      <c r="G12" s="9" t="n">
        <v>8.4316</v>
      </c>
      <c r="H12" s="9" t="n">
        <v>10.95566</v>
      </c>
      <c r="I12" s="10" t="n">
        <v>13.42</v>
      </c>
      <c r="J12" s="10" t="n">
        <v>14.23</v>
      </c>
      <c r="K12" s="10" t="n">
        <v>14.66</v>
      </c>
      <c r="L12" s="10" t="n">
        <v>14.95</v>
      </c>
      <c r="M12" s="10" t="n">
        <v>15.25</v>
      </c>
      <c r="N12" s="11" t="inlineStr">
        <is>
          <t>[객관 실적 / 주관 추정] 공시 "주요제품 가격변동 추이"(원/㎡)를 억원/천㎡로 환산. 실적 604,869 → 792,973 → 751,236 → 843,160 → 1,095,566원/㎡. 2026 상반기 공시값이 **1,361,056원/㎡로 +24.2%** 더 올랐다. 하반기 소폭 조정을 가정해 2026년 연평균을 13.42(=1,342,000원/㎡)로 두고, 이후 +6/+3/+2/+2%로 체감시켰다. 단가 상승은 DDR5·고다층 전환의 결과이므로 전환이 끝나면 멈춘다 — 영구히 오르는 값이 아니다.</t>
        </is>
      </c>
    </row>
    <row r="13">
      <c r="A13" s="5" t="inlineStr">
        <is>
          <t>순차입금</t>
        </is>
      </c>
      <c r="B13" s="2" t="inlineStr">
        <is>
          <t>net_debt</t>
        </is>
      </c>
      <c r="C13" s="2" t="inlineStr">
        <is>
          <t>억원</t>
        </is>
      </c>
      <c r="D13" s="9" t="n">
        <v>70.03945403</v>
      </c>
      <c r="E13" s="9" t="n">
        <v>-52.71277978</v>
      </c>
      <c r="F13" s="9" t="n">
        <v>298.34463868</v>
      </c>
      <c r="G13" s="9" t="n">
        <v>334.64758095</v>
      </c>
      <c r="H13" s="9" t="n">
        <v>617.63877813</v>
      </c>
      <c r="I13" s="10" t="n">
        <v>617.63877813</v>
      </c>
      <c r="J13" s="10" t="n">
        <v>617.63877813</v>
      </c>
      <c r="K13" s="10" t="n">
        <v>617.63877813</v>
      </c>
      <c r="L13" s="10" t="n">
        <v>617.63877813</v>
      </c>
      <c r="M13" s="10" t="n">
        <v>617.63877813</v>
      </c>
      <c r="N13" s="11" t="inlineStr">
        <is>
          <t>[객관 실적 / 추정 구간 고정] 차입금(단기+유동성장기+장기) − 현금및현금성자산. 리스부채 제외. 2022년 −52.7억(순현금)에서 2025년 617.6억으로 3년 만에 670억이 늘었다 — 증설 투자를 차입으로 감당한 결과다. 시가총액의 6.3%로 삼성전기·KT&amp;G보다 밸류에이션 민감도가 크다. 추정 구간은 2025년 수준으로 고정했으나, CAPEX가 감가상각의 5배인 국면이라 실제로는 더 늘 가능성이 높다.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티엘비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(D6-D22)</f>
        <v/>
      </c>
      <c r="E5" s="14">
        <f>(E6-E22)</f>
        <v/>
      </c>
      <c r="F5" s="14">
        <f>(F6-F22)</f>
        <v/>
      </c>
      <c r="G5" s="14">
        <f>(G6-G22)</f>
        <v/>
      </c>
      <c r="H5" s="14">
        <f>(H6-H22)</f>
        <v/>
      </c>
      <c r="I5" s="14">
        <f>(I6-I22)</f>
        <v/>
      </c>
      <c r="J5" s="14">
        <f>(J6-J22)</f>
        <v/>
      </c>
      <c r="K5" s="14">
        <f>(K6-K22)</f>
        <v/>
      </c>
      <c r="L5" s="14">
        <f>(L6-L22)</f>
        <v/>
      </c>
      <c r="M5" s="14">
        <f>(M6-M22)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12</v>
      </c>
      <c r="E7" s="19" t="n">
        <v>12</v>
      </c>
      <c r="F7" s="19" t="n">
        <v>12</v>
      </c>
      <c r="G7" s="19" t="n">
        <v>12</v>
      </c>
      <c r="H7" s="19" t="n">
        <v>12</v>
      </c>
      <c r="I7" s="20" t="n">
        <v>12</v>
      </c>
      <c r="J7" s="20" t="n">
        <v>12</v>
      </c>
      <c r="K7" s="20" t="n">
        <v>12</v>
      </c>
      <c r="L7" s="20" t="n">
        <v>12</v>
      </c>
      <c r="M7" s="20" t="n">
        <v>12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(D9+D11)</f>
        <v/>
      </c>
      <c r="E8" s="16">
        <f>(E9+E11)</f>
        <v/>
      </c>
      <c r="F8" s="16">
        <f>(F9+F11)</f>
        <v/>
      </c>
      <c r="G8" s="16">
        <f>(G9+G11)</f>
        <v/>
      </c>
      <c r="H8" s="16">
        <f>(H9+H11)</f>
        <v/>
      </c>
      <c r="I8" s="17">
        <f>(I9+I11)</f>
        <v/>
      </c>
      <c r="J8" s="17">
        <f>(J9+J11)</f>
        <v/>
      </c>
      <c r="K8" s="17">
        <f>(K9+K11)</f>
        <v/>
      </c>
      <c r="L8" s="17">
        <f>(L9+L11)</f>
        <v/>
      </c>
      <c r="M8" s="17">
        <f>(M9+M11)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(D17-D10)</f>
        <v/>
      </c>
      <c r="E9" s="16">
        <f>(E17-E10)</f>
        <v/>
      </c>
      <c r="F9" s="16">
        <f>(F17-F10)</f>
        <v/>
      </c>
      <c r="G9" s="16">
        <f>(G17-G10)</f>
        <v/>
      </c>
      <c r="H9" s="16">
        <f>(H17-H10)</f>
        <v/>
      </c>
      <c r="I9" s="17">
        <f>(I17-I10)</f>
        <v/>
      </c>
      <c r="J9" s="17">
        <f>(J17-J10)</f>
        <v/>
      </c>
      <c r="K9" s="17">
        <f>(K17-K10)</f>
        <v/>
      </c>
      <c r="L9" s="17">
        <f>(L17-L10)</f>
        <v/>
      </c>
      <c r="M9" s="17">
        <f>(M17-M10)</f>
        <v/>
      </c>
    </row>
    <row r="10">
      <c r="A10" s="22" t="inlineStr">
        <is>
          <t>총비용</t>
        </is>
      </c>
      <c r="B10" s="2" t="inlineStr">
        <is>
          <t>total_cost</t>
        </is>
      </c>
      <c r="C10" s="2" t="inlineStr">
        <is>
          <t>억원</t>
        </is>
      </c>
      <c r="D10" s="16">
        <f>(D11+D14)</f>
        <v/>
      </c>
      <c r="E10" s="16">
        <f>(E11+E14)</f>
        <v/>
      </c>
      <c r="F10" s="16">
        <f>(F11+F14)</f>
        <v/>
      </c>
      <c r="G10" s="16">
        <f>(G11+G14)</f>
        <v/>
      </c>
      <c r="H10" s="16">
        <f>(H11+H14)</f>
        <v/>
      </c>
      <c r="I10" s="17">
        <f>(I11+I14)</f>
        <v/>
      </c>
      <c r="J10" s="17">
        <f>(J11+J14)</f>
        <v/>
      </c>
      <c r="K10" s="17">
        <f>(K11+K14)</f>
        <v/>
      </c>
      <c r="L10" s="17">
        <f>(L11+L14)</f>
        <v/>
      </c>
      <c r="M10" s="17">
        <f>(M11+M14)</f>
        <v/>
      </c>
    </row>
    <row r="11">
      <c r="A11" s="23" t="inlineStr">
        <is>
          <t>감가상각비</t>
        </is>
      </c>
      <c r="B11" s="2" t="inlineStr">
        <is>
          <t>dep_total</t>
        </is>
      </c>
      <c r="C11" s="2" t="inlineStr">
        <is>
          <t>억원</t>
        </is>
      </c>
      <c r="D11" s="16">
        <f>IF((D12&gt;0),D12,(0*(1+D13)))</f>
        <v/>
      </c>
      <c r="E11" s="16">
        <f>IF((E12&gt;0),E12,(D11*(1+E13)))</f>
        <v/>
      </c>
      <c r="F11" s="16">
        <f>IF((F12&gt;0),F12,(E11*(1+F13)))</f>
        <v/>
      </c>
      <c r="G11" s="16">
        <f>IF((G12&gt;0),G12,(F11*(1+G13)))</f>
        <v/>
      </c>
      <c r="H11" s="16">
        <f>IF((H12&gt;0),H12,(G11*(1+H13)))</f>
        <v/>
      </c>
      <c r="I11" s="17">
        <f>IF((I12&gt;0),I12,(H11*(1+I13)))</f>
        <v/>
      </c>
      <c r="J11" s="17">
        <f>IF((J12&gt;0),J12,(I11*(1+J13)))</f>
        <v/>
      </c>
      <c r="K11" s="17">
        <f>IF((K12&gt;0),K12,(J11*(1+K13)))</f>
        <v/>
      </c>
      <c r="L11" s="17">
        <f>IF((L12&gt;0),L12,(K11*(1+L13)))</f>
        <v/>
      </c>
      <c r="M11" s="17">
        <f>IF((M12&gt;0),M12,(L11*(1+M13)))</f>
        <v/>
      </c>
    </row>
    <row r="12">
      <c r="A12" s="24" t="inlineStr">
        <is>
          <t>감가상각비 실적</t>
        </is>
      </c>
      <c r="B12" s="2" t="inlineStr">
        <is>
          <t>dep_actual</t>
        </is>
      </c>
      <c r="C12" s="2" t="inlineStr">
        <is>
          <t>억원</t>
        </is>
      </c>
      <c r="D12" s="19" t="n">
        <v>35.71458</v>
      </c>
      <c r="E12" s="19" t="n">
        <v>45.83276</v>
      </c>
      <c r="F12" s="19" t="n">
        <v>53.90911</v>
      </c>
      <c r="G12" s="19" t="n">
        <v>59.76686</v>
      </c>
      <c r="H12" s="19" t="n">
        <v>75.01629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4" t="inlineStr">
        <is>
          <t>감가상각 증가율</t>
        </is>
      </c>
      <c r="B13" s="2" t="inlineStr">
        <is>
          <t>dep_g</t>
        </is>
      </c>
      <c r="C13" s="2" t="inlineStr">
        <is>
          <t>%</t>
        </is>
      </c>
      <c r="D13" s="25" t="n">
        <v>0</v>
      </c>
      <c r="E13" s="25" t="n">
        <v>0</v>
      </c>
      <c r="F13" s="25" t="n">
        <v>0</v>
      </c>
      <c r="G13" s="25" t="n">
        <v>0</v>
      </c>
      <c r="H13" s="25" t="n">
        <v>0</v>
      </c>
      <c r="I13" s="26" t="n">
        <v>0.35</v>
      </c>
      <c r="J13" s="26" t="n">
        <v>0.25</v>
      </c>
      <c r="K13" s="26" t="n">
        <v>0.15</v>
      </c>
      <c r="L13" s="26" t="n">
        <v>0.1</v>
      </c>
      <c r="M13" s="26" t="n">
        <v>0.08</v>
      </c>
    </row>
    <row r="14">
      <c r="A14" s="23" t="inlineStr">
        <is>
          <t>기타비용</t>
        </is>
      </c>
      <c r="B14" s="2" t="inlineStr">
        <is>
          <t>other_cost</t>
        </is>
      </c>
      <c r="C14" s="2" t="inlineStr">
        <is>
          <t>억원</t>
        </is>
      </c>
      <c r="D14" s="16">
        <f>IF((D15&gt;0),D15,(D17*D16))</f>
        <v/>
      </c>
      <c r="E14" s="16">
        <f>IF((E15&gt;0),E15,(E17*E16))</f>
        <v/>
      </c>
      <c r="F14" s="16">
        <f>IF((F15&gt;0),F15,(F17*F16))</f>
        <v/>
      </c>
      <c r="G14" s="16">
        <f>IF((G15&gt;0),G15,(G17*G16))</f>
        <v/>
      </c>
      <c r="H14" s="16">
        <f>IF((H15&gt;0),H15,(H17*H16))</f>
        <v/>
      </c>
      <c r="I14" s="17">
        <f>IF((I15&gt;0),I15,(I17*I16))</f>
        <v/>
      </c>
      <c r="J14" s="17">
        <f>IF((J15&gt;0),J15,(J17*J16))</f>
        <v/>
      </c>
      <c r="K14" s="17">
        <f>IF((K15&gt;0),K15,(K17*K16))</f>
        <v/>
      </c>
      <c r="L14" s="17">
        <f>IF((L15&gt;0),L15,(L17*L16))</f>
        <v/>
      </c>
      <c r="M14" s="17">
        <f>IF((M15&gt;0),M15,(M17*M16))</f>
        <v/>
      </c>
    </row>
    <row r="15">
      <c r="A15" s="24" t="inlineStr">
        <is>
          <t>기타비용 실적</t>
        </is>
      </c>
      <c r="B15" s="2" t="inlineStr">
        <is>
          <t>other_actual</t>
        </is>
      </c>
      <c r="C15" s="2" t="inlineStr">
        <is>
          <t>억원</t>
        </is>
      </c>
      <c r="D15" s="19" t="n">
        <v>1611.4808117</v>
      </c>
      <c r="E15" s="19" t="n">
        <v>1785.00435726</v>
      </c>
      <c r="F15" s="19" t="n">
        <v>1628.70819668</v>
      </c>
      <c r="G15" s="19" t="n">
        <v>1706.66660828</v>
      </c>
      <c r="H15" s="19" t="n">
        <v>2250.33474673</v>
      </c>
      <c r="I15" s="20" t="n">
        <v>0</v>
      </c>
      <c r="J15" s="20" t="n">
        <v>0</v>
      </c>
      <c r="K15" s="20" t="n">
        <v>0</v>
      </c>
      <c r="L15" s="20" t="n">
        <v>0</v>
      </c>
      <c r="M15" s="20" t="n">
        <v>0</v>
      </c>
    </row>
    <row r="16">
      <c r="A16" s="24" t="inlineStr">
        <is>
          <t>기타비용률</t>
        </is>
      </c>
      <c r="B16" s="2" t="inlineStr">
        <is>
          <t>other_ratio</t>
        </is>
      </c>
      <c r="C16" s="2" t="inlineStr">
        <is>
          <t>%</t>
        </is>
      </c>
      <c r="D16" s="25" t="n">
        <v>0</v>
      </c>
      <c r="E16" s="25" t="n">
        <v>0</v>
      </c>
      <c r="F16" s="25" t="n">
        <v>0</v>
      </c>
      <c r="G16" s="25" t="n">
        <v>0</v>
      </c>
      <c r="H16" s="25" t="n">
        <v>0</v>
      </c>
      <c r="I16" s="26" t="n">
        <v>0.83</v>
      </c>
      <c r="J16" s="26" t="n">
        <v>0.825</v>
      </c>
      <c r="K16" s="26" t="n">
        <v>0.82</v>
      </c>
      <c r="L16" s="26" t="n">
        <v>0.8149999999999999</v>
      </c>
      <c r="M16" s="26" t="n">
        <v>0.8100000000000001</v>
      </c>
    </row>
    <row r="17">
      <c r="A17" s="22" t="inlineStr">
        <is>
          <t>매출</t>
        </is>
      </c>
      <c r="B17" s="2" t="inlineStr">
        <is>
          <t>revenue</t>
        </is>
      </c>
      <c r="C17" s="2" t="inlineStr">
        <is>
          <t>억원</t>
        </is>
      </c>
      <c r="D17" s="16">
        <f>(D18*D21)</f>
        <v/>
      </c>
      <c r="E17" s="16">
        <f>(E18*E21)</f>
        <v/>
      </c>
      <c r="F17" s="16">
        <f>(F18*F21)</f>
        <v/>
      </c>
      <c r="G17" s="16">
        <f>(G18*G21)</f>
        <v/>
      </c>
      <c r="H17" s="16">
        <f>(H18*H21)</f>
        <v/>
      </c>
      <c r="I17" s="17">
        <f>(I18*I21)</f>
        <v/>
      </c>
      <c r="J17" s="17">
        <f>(J18*J21)</f>
        <v/>
      </c>
      <c r="K17" s="17">
        <f>(K18*K21)</f>
        <v/>
      </c>
      <c r="L17" s="17">
        <f>(L18*L21)</f>
        <v/>
      </c>
      <c r="M17" s="17">
        <f>(M18*M21)</f>
        <v/>
      </c>
    </row>
    <row r="18">
      <c r="A18" s="23" t="inlineStr">
        <is>
          <t>출하량</t>
        </is>
      </c>
      <c r="B18" s="2" t="inlineStr">
        <is>
          <t>qty</t>
        </is>
      </c>
      <c r="C18" s="2" t="inlineStr">
        <is>
          <t>천㎡</t>
        </is>
      </c>
      <c r="D18" s="16">
        <f>(D19*D20)</f>
        <v/>
      </c>
      <c r="E18" s="16">
        <f>(E19*E20)</f>
        <v/>
      </c>
      <c r="F18" s="16">
        <f>(F19*F20)</f>
        <v/>
      </c>
      <c r="G18" s="16">
        <f>(G19*G20)</f>
        <v/>
      </c>
      <c r="H18" s="16">
        <f>(H19*H20)</f>
        <v/>
      </c>
      <c r="I18" s="17">
        <f>(I19*I20)</f>
        <v/>
      </c>
      <c r="J18" s="17">
        <f>(J19*J20)</f>
        <v/>
      </c>
      <c r="K18" s="17">
        <f>(K19*K20)</f>
        <v/>
      </c>
      <c r="L18" s="17">
        <f>(L19*L20)</f>
        <v/>
      </c>
      <c r="M18" s="17">
        <f>(M19*M20)</f>
        <v/>
      </c>
    </row>
    <row r="19">
      <c r="A19" s="24" t="inlineStr">
        <is>
          <t>생산능력</t>
        </is>
      </c>
      <c r="B19" s="2" t="inlineStr">
        <is>
          <t>capacity</t>
        </is>
      </c>
      <c r="C19" s="2" t="inlineStr">
        <is>
          <t>천㎡</t>
        </is>
      </c>
      <c r="D19" s="19" t="n">
        <v>342</v>
      </c>
      <c r="E19" s="19" t="n">
        <v>348</v>
      </c>
      <c r="F19" s="19" t="n">
        <v>348</v>
      </c>
      <c r="G19" s="19" t="n">
        <v>348</v>
      </c>
      <c r="H19" s="19" t="n">
        <v>348</v>
      </c>
      <c r="I19" s="20" t="n">
        <v>360</v>
      </c>
      <c r="J19" s="20" t="n">
        <v>400</v>
      </c>
      <c r="K19" s="20" t="n">
        <v>430</v>
      </c>
      <c r="L19" s="20" t="n">
        <v>450</v>
      </c>
      <c r="M19" s="20" t="n">
        <v>460</v>
      </c>
    </row>
    <row r="20">
      <c r="A20" s="24" t="inlineStr">
        <is>
          <t>가동률</t>
        </is>
      </c>
      <c r="B20" s="2" t="inlineStr">
        <is>
          <t>util</t>
        </is>
      </c>
      <c r="C20" s="2" t="inlineStr">
        <is>
          <t>%</t>
        </is>
      </c>
      <c r="D20" s="25" t="n">
        <v>0.860946317519296</v>
      </c>
      <c r="E20" s="25" t="n">
        <v>0.8028427797711249</v>
      </c>
      <c r="F20" s="25" t="n">
        <v>0.6552676032886309</v>
      </c>
      <c r="G20" s="25" t="n">
        <v>0.613460265575915</v>
      </c>
      <c r="H20" s="25" t="n">
        <v>0.6780144209429898</v>
      </c>
      <c r="I20" s="26" t="n">
        <v>0.7</v>
      </c>
      <c r="J20" s="26" t="n">
        <v>0.72</v>
      </c>
      <c r="K20" s="26" t="n">
        <v>0.74</v>
      </c>
      <c r="L20" s="26" t="n">
        <v>0.76</v>
      </c>
      <c r="M20" s="26" t="n">
        <v>0.78</v>
      </c>
    </row>
    <row r="21">
      <c r="A21" s="23" t="inlineStr">
        <is>
          <t>단가</t>
        </is>
      </c>
      <c r="B21" s="2" t="inlineStr">
        <is>
          <t>price</t>
        </is>
      </c>
      <c r="C21" s="2" t="inlineStr">
        <is>
          <t>억원/천㎡</t>
        </is>
      </c>
      <c r="D21" s="19" t="n">
        <v>6.04869</v>
      </c>
      <c r="E21" s="19" t="n">
        <v>7.92973</v>
      </c>
      <c r="F21" s="19" t="n">
        <v>7.51236</v>
      </c>
      <c r="G21" s="19" t="n">
        <v>8.4316</v>
      </c>
      <c r="H21" s="19" t="n">
        <v>10.95566</v>
      </c>
      <c r="I21" s="20" t="n">
        <v>13.42</v>
      </c>
      <c r="J21" s="20" t="n">
        <v>14.23</v>
      </c>
      <c r="K21" s="20" t="n">
        <v>14.66</v>
      </c>
      <c r="L21" s="20" t="n">
        <v>14.95</v>
      </c>
      <c r="M21" s="20" t="n">
        <v>15.25</v>
      </c>
    </row>
    <row r="22">
      <c r="A22" s="15" t="inlineStr">
        <is>
          <t>순차입금</t>
        </is>
      </c>
      <c r="B22" s="2" t="inlineStr">
        <is>
          <t>net_debt</t>
        </is>
      </c>
      <c r="C22" s="2" t="inlineStr">
        <is>
          <t>억원</t>
        </is>
      </c>
      <c r="D22" s="19" t="n">
        <v>70.03945403</v>
      </c>
      <c r="E22" s="19" t="n">
        <v>-52.71277978</v>
      </c>
      <c r="F22" s="19" t="n">
        <v>298.34463868</v>
      </c>
      <c r="G22" s="19" t="n">
        <v>334.64758095</v>
      </c>
      <c r="H22" s="19" t="n">
        <v>617.63877813</v>
      </c>
      <c r="I22" s="20" t="n">
        <v>617.63877813</v>
      </c>
      <c r="J22" s="20" t="n">
        <v>617.63877813</v>
      </c>
      <c r="K22" s="20" t="n">
        <v>617.63877813</v>
      </c>
      <c r="L22" s="20" t="n">
        <v>617.63877813</v>
      </c>
      <c r="M22" s="20" t="n">
        <v>617.63877813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7" t="inlineStr">
        <is>
          <t>ev_value - net_debt</t>
        </is>
      </c>
      <c r="E5" s="11" t="inlineStr">
        <is>
          <t>'=(I6-I22)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7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7" t="inlineStr">
        <is>
          <t>op_profit + dep_total</t>
        </is>
      </c>
      <c r="E7" s="11" t="inlineStr">
        <is>
          <t>'=(I9+I11)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7" t="inlineStr">
        <is>
          <t>revenue - total_cost</t>
        </is>
      </c>
      <c r="E8" s="11" t="inlineStr">
        <is>
          <t>'=(I17-I10)</t>
        </is>
      </c>
    </row>
    <row r="9">
      <c r="A9" s="2" t="inlineStr">
        <is>
          <t>total_cost</t>
        </is>
      </c>
      <c r="B9" s="5" t="inlineStr">
        <is>
          <t>총비용</t>
        </is>
      </c>
      <c r="C9" s="2" t="n">
        <v>10</v>
      </c>
      <c r="D9" s="27" t="inlineStr">
        <is>
          <t>dep_total + other_cost</t>
        </is>
      </c>
      <c r="E9" s="11" t="inlineStr">
        <is>
          <t>'=(I11+I14)</t>
        </is>
      </c>
    </row>
    <row r="10">
      <c r="A10" s="2" t="inlineStr">
        <is>
          <t>dep_total</t>
        </is>
      </c>
      <c r="B10" s="5" t="inlineStr">
        <is>
          <t>감가상각비</t>
        </is>
      </c>
      <c r="C10" s="2" t="n">
        <v>11</v>
      </c>
      <c r="D10" s="27" t="inlineStr">
        <is>
          <t>IF(dep_actual &gt; 0, dep_actual, PREV(dep_total) * (1 + dep_g))</t>
        </is>
      </c>
      <c r="E10" s="11" t="inlineStr">
        <is>
          <t>'=IF((I12&gt;0),I12,(H11*(1+I13)))</t>
        </is>
      </c>
    </row>
    <row r="11">
      <c r="A11" s="2" t="inlineStr">
        <is>
          <t>other_cost</t>
        </is>
      </c>
      <c r="B11" s="5" t="inlineStr">
        <is>
          <t>기타비용</t>
        </is>
      </c>
      <c r="C11" s="2" t="n">
        <v>14</v>
      </c>
      <c r="D11" s="27" t="inlineStr">
        <is>
          <t>IF(other_actual &gt; 0, other_actual, revenue * other_ratio)</t>
        </is>
      </c>
      <c r="E11" s="11" t="inlineStr">
        <is>
          <t>'=IF((I15&gt;0),I15,(I17*I16))</t>
        </is>
      </c>
    </row>
    <row r="12">
      <c r="A12" s="2" t="inlineStr">
        <is>
          <t>revenue</t>
        </is>
      </c>
      <c r="B12" s="5" t="inlineStr">
        <is>
          <t>매출</t>
        </is>
      </c>
      <c r="C12" s="2" t="n">
        <v>17</v>
      </c>
      <c r="D12" s="27" t="inlineStr">
        <is>
          <t>qty * price</t>
        </is>
      </c>
      <c r="E12" s="11" t="inlineStr">
        <is>
          <t>'=(I18*I21)</t>
        </is>
      </c>
    </row>
    <row r="13">
      <c r="A13" s="2" t="inlineStr">
        <is>
          <t>qty</t>
        </is>
      </c>
      <c r="B13" s="5" t="inlineStr">
        <is>
          <t>출하량</t>
        </is>
      </c>
      <c r="C13" s="2" t="n">
        <v>18</v>
      </c>
      <c r="D13" s="27" t="inlineStr">
        <is>
          <t>capacity * util</t>
        </is>
      </c>
      <c r="E13" s="11" t="inlineStr">
        <is>
          <t>'=(I19*I20)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8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29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29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0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total_cost</t>
        </is>
      </c>
      <c r="B9" s="31" t="inlineStr">
        <is>
          <t>총비용</t>
        </is>
      </c>
      <c r="C9" t="n">
        <v>4</v>
      </c>
      <c r="D9" t="inlineStr">
        <is>
          <t>computed</t>
        </is>
      </c>
      <c r="E9" t="inlineStr">
        <is>
          <t>Y</t>
        </is>
      </c>
      <c r="F9" t="n">
        <v>10</v>
      </c>
      <c r="G9" t="inlineStr">
        <is>
          <t>억원</t>
        </is>
      </c>
    </row>
    <row r="10">
      <c r="A10" s="2" t="inlineStr">
        <is>
          <t>dep_total</t>
        </is>
      </c>
      <c r="B10" s="32" t="inlineStr">
        <is>
          <t>감가상각비</t>
        </is>
      </c>
      <c r="C10" t="n">
        <v>5</v>
      </c>
      <c r="D10" t="inlineStr">
        <is>
          <t>computed</t>
        </is>
      </c>
      <c r="E10" t="inlineStr"/>
      <c r="F10" t="n">
        <v>11</v>
      </c>
      <c r="G10" t="inlineStr">
        <is>
          <t>억원</t>
        </is>
      </c>
    </row>
    <row r="11">
      <c r="A11" s="2" t="inlineStr">
        <is>
          <t>dep_actual</t>
        </is>
      </c>
      <c r="B11" s="33" t="inlineStr">
        <is>
          <t>감가상각비 실적</t>
        </is>
      </c>
      <c r="C11" t="n">
        <v>6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dep_g</t>
        </is>
      </c>
      <c r="B12" s="33" t="inlineStr">
        <is>
          <t>감가상각 증가율</t>
        </is>
      </c>
      <c r="C12" t="n">
        <v>6</v>
      </c>
      <c r="D12" t="inlineStr">
        <is>
          <t>input</t>
        </is>
      </c>
      <c r="E12" t="inlineStr"/>
      <c r="F12" t="n">
        <v>13</v>
      </c>
      <c r="G12" t="inlineStr">
        <is>
          <t>%</t>
        </is>
      </c>
    </row>
    <row r="13">
      <c r="A13" s="2" t="inlineStr">
        <is>
          <t>other_cost</t>
        </is>
      </c>
      <c r="B13" s="32" t="inlineStr">
        <is>
          <t>기타비용</t>
        </is>
      </c>
      <c r="C13" t="n">
        <v>5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other_actual</t>
        </is>
      </c>
      <c r="B14" s="33" t="inlineStr">
        <is>
          <t>기타비용 실적</t>
        </is>
      </c>
      <c r="C14" t="n">
        <v>6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other_ratio</t>
        </is>
      </c>
      <c r="B15" s="33" t="inlineStr">
        <is>
          <t>기타비용률</t>
        </is>
      </c>
      <c r="C15" t="n">
        <v>6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revenue</t>
        </is>
      </c>
      <c r="B16" s="31" t="inlineStr">
        <is>
          <t>매출</t>
        </is>
      </c>
      <c r="C16" t="n">
        <v>4</v>
      </c>
      <c r="D16" t="inlineStr">
        <is>
          <t>computed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qty</t>
        </is>
      </c>
      <c r="B17" s="32" t="inlineStr">
        <is>
          <t>출하량</t>
        </is>
      </c>
      <c r="C17" t="n">
        <v>5</v>
      </c>
      <c r="D17" t="inlineStr">
        <is>
          <t>computed</t>
        </is>
      </c>
      <c r="E17" t="inlineStr"/>
      <c r="F17" t="n">
        <v>18</v>
      </c>
      <c r="G17" t="inlineStr">
        <is>
          <t>천㎡</t>
        </is>
      </c>
    </row>
    <row r="18">
      <c r="A18" s="2" t="inlineStr">
        <is>
          <t>capacity</t>
        </is>
      </c>
      <c r="B18" s="33" t="inlineStr">
        <is>
          <t>생산능력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천㎡</t>
        </is>
      </c>
    </row>
    <row r="19">
      <c r="A19" s="2" t="inlineStr">
        <is>
          <t>util</t>
        </is>
      </c>
      <c r="B19" s="33" t="inlineStr">
        <is>
          <t>가동률</t>
        </is>
      </c>
      <c r="C19" t="n">
        <v>6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price</t>
        </is>
      </c>
      <c r="B20" s="32" t="inlineStr">
        <is>
          <t>단가</t>
        </is>
      </c>
      <c r="C20" t="n">
        <v>5</v>
      </c>
      <c r="D20" t="inlineStr">
        <is>
          <t>input</t>
        </is>
      </c>
      <c r="E20" t="inlineStr"/>
      <c r="F20" t="n">
        <v>21</v>
      </c>
      <c r="G20" t="inlineStr">
        <is>
          <t>억원/천㎡</t>
        </is>
      </c>
    </row>
    <row r="21">
      <c r="A21" s="2" t="inlineStr">
        <is>
          <t>net_debt</t>
        </is>
      </c>
      <c r="B21" s="28" t="inlineStr">
        <is>
          <t>순차입금</t>
        </is>
      </c>
      <c r="C21" t="n">
        <v>1</v>
      </c>
      <c r="D21" t="inlineStr">
        <is>
          <t>input</t>
        </is>
      </c>
      <c r="E21" t="inlineStr"/>
      <c r="F21" t="n">
        <v>22</v>
      </c>
      <c r="G21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4">
        <f>ROUND(Model!D10-(Model!D11+Model!D14),6)</f>
        <v/>
      </c>
      <c r="E5" s="34">
        <f>ROUND(Model!E10-(Model!E11+Model!E14),6)</f>
        <v/>
      </c>
      <c r="F5" s="34">
        <f>ROUND(Model!F10-(Model!F11+Model!F14),6)</f>
        <v/>
      </c>
      <c r="G5" s="34">
        <f>ROUND(Model!G10-(Model!G11+Model!G14),6)</f>
        <v/>
      </c>
      <c r="H5" s="34">
        <f>ROUND(Model!H10-(Model!H11+Model!H14),6)</f>
        <v/>
      </c>
      <c r="I5" s="34">
        <f>ROUND(Model!I10-(Model!I11+Model!I14),6)</f>
        <v/>
      </c>
      <c r="J5" s="34">
        <f>ROUND(Model!J10-(Model!J11+Model!J14),6)</f>
        <v/>
      </c>
      <c r="K5" s="34">
        <f>ROUND(Model!K10-(Model!K11+Model!K14),6)</f>
        <v/>
      </c>
      <c r="L5" s="34">
        <f>ROUND(Model!L10-(Model!L11+Model!L14),6)</f>
        <v/>
      </c>
      <c r="M5" s="34">
        <f>ROUND(Model!M10-(Model!M11+Model!M14),6)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aea60d7d03834c05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18</v>
      </c>
    </row>
    <row r="8">
      <c r="A8" s="4" t="inlineStr">
        <is>
          <t>입력 노드 수</t>
        </is>
      </c>
      <c r="B8" t="n">
        <v>9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tlb_qp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
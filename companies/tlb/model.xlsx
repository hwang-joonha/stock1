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9" t="n">
        <v>35.71458</v>
      </c>
      <c r="E6" s="9" t="n">
        <v>45.83276</v>
      </c>
      <c r="F6" s="9" t="n">
        <v>53.90911</v>
      </c>
      <c r="G6" s="9" t="n">
        <v>59.76686</v>
      </c>
      <c r="H6" s="9" t="n">
        <v>75.01629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네 개 사업보고서의 당기/전기가 연쇄적으로 일치해 교차검증됐다.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0.35</v>
      </c>
      <c r="J7" s="13" t="n">
        <v>0.25</v>
      </c>
      <c r="K7" s="13" t="n">
        <v>0.15</v>
      </c>
      <c r="L7" s="13" t="n">
        <v>0.1</v>
      </c>
      <c r="M7" s="13" t="n">
        <v>0.08</v>
      </c>
      <c r="N7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1611.4808117</v>
      </c>
      <c r="E8" s="9" t="n">
        <v>1785.00435726</v>
      </c>
      <c r="F8" s="9" t="n">
        <v>1628.70819668</v>
      </c>
      <c r="G8" s="9" t="n">
        <v>1706.66660828</v>
      </c>
      <c r="H8" s="9" t="n">
        <v>2250.33474673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0.83</v>
      </c>
      <c r="J9" s="13" t="n">
        <v>0.825</v>
      </c>
      <c r="K9" s="13" t="n">
        <v>0.82</v>
      </c>
      <c r="L9" s="13" t="n">
        <v>0.8149999999999999</v>
      </c>
      <c r="M9" s="13" t="n">
        <v>0.8100000000000001</v>
      </c>
      <c r="N9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0">
      <c r="A10" s="5" t="inlineStr">
        <is>
          <t>생산능력</t>
        </is>
      </c>
      <c r="B10" s="2" t="inlineStr">
        <is>
          <t>capacity</t>
        </is>
      </c>
      <c r="C10" s="2" t="inlineStr">
        <is>
          <t>천㎡</t>
        </is>
      </c>
      <c r="D10" s="9" t="n">
        <v>342</v>
      </c>
      <c r="E10" s="9" t="n">
        <v>348</v>
      </c>
      <c r="F10" s="9" t="n">
        <v>348</v>
      </c>
      <c r="G10" s="9" t="n">
        <v>348</v>
      </c>
      <c r="H10" s="9" t="n">
        <v>348</v>
      </c>
      <c r="I10" s="10" t="n">
        <v>360</v>
      </c>
      <c r="J10" s="10" t="n">
        <v>400</v>
      </c>
      <c r="K10" s="10" t="n">
        <v>430</v>
      </c>
      <c r="L10" s="10" t="n">
        <v>450</v>
      </c>
      <c r="M10" s="10" t="n">
        <v>460</v>
      </c>
      <c r="N10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1">
      <c r="A11" s="5" t="inlineStr">
        <is>
          <t>가동률</t>
        </is>
      </c>
      <c r="B11" s="2" t="inlineStr">
        <is>
          <t>util</t>
        </is>
      </c>
      <c r="C11" s="2" t="inlineStr">
        <is>
          <t>%</t>
        </is>
      </c>
      <c r="D11" s="12" t="n">
        <v>0.860946317519296</v>
      </c>
      <c r="E11" s="12" t="n">
        <v>0.8028427797711249</v>
      </c>
      <c r="F11" s="12" t="n">
        <v>0.6552676032886309</v>
      </c>
      <c r="G11" s="12" t="n">
        <v>0.613460265575915</v>
      </c>
      <c r="H11" s="12" t="n">
        <v>0.6780144209429898</v>
      </c>
      <c r="I11" s="13" t="n">
        <v>0.7</v>
      </c>
      <c r="J11" s="13" t="n">
        <v>0.72</v>
      </c>
      <c r="K11" s="13" t="n">
        <v>0.74</v>
      </c>
      <c r="L11" s="13" t="n">
        <v>0.76</v>
      </c>
      <c r="M11" s="13" t="n">
        <v>0.78</v>
      </c>
      <c r="N11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12">
      <c r="A12" s="5" t="inlineStr">
        <is>
          <t>단가</t>
        </is>
      </c>
      <c r="B12" s="2" t="inlineStr">
        <is>
          <t>price</t>
        </is>
      </c>
      <c r="C12" s="2" t="inlineStr">
        <is>
          <t>억원/천㎡</t>
        </is>
      </c>
      <c r="D12" s="9" t="n">
        <v>6.04869</v>
      </c>
      <c r="E12" s="9" t="n">
        <v>7.92973</v>
      </c>
      <c r="F12" s="9" t="n">
        <v>7.51236</v>
      </c>
      <c r="G12" s="9" t="n">
        <v>8.4316</v>
      </c>
      <c r="H12" s="9" t="n">
        <v>10.95566</v>
      </c>
      <c r="I12" s="10" t="n">
        <v>13.42</v>
      </c>
      <c r="J12" s="10" t="n">
        <v>14.23</v>
      </c>
      <c r="K12" s="10" t="n">
        <v>14.66</v>
      </c>
      <c r="L12" s="10" t="n">
        <v>14.95</v>
      </c>
      <c r="M12" s="10" t="n">
        <v>15.25</v>
      </c>
      <c r="N12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13">
      <c r="A13" s="5" t="inlineStr">
        <is>
          <t>순차입금</t>
        </is>
      </c>
      <c r="B13" s="2" t="inlineStr">
        <is>
          <t>net_debt</t>
        </is>
      </c>
      <c r="C13" s="2" t="inlineStr">
        <is>
          <t>억원</t>
        </is>
      </c>
      <c r="D13" s="9" t="n">
        <v>70.03945403</v>
      </c>
      <c r="E13" s="9" t="n">
        <v>-52.71277978</v>
      </c>
      <c r="F13" s="9" t="n">
        <v>298.34463868</v>
      </c>
      <c r="G13" s="9" t="n">
        <v>334.64758095</v>
      </c>
      <c r="H13" s="9" t="n">
        <v>617.63877813</v>
      </c>
      <c r="I13" s="10" t="n">
        <v>617.63877813</v>
      </c>
      <c r="J13" s="10" t="n">
        <v>617.63877813</v>
      </c>
      <c r="K13" s="10" t="n">
        <v>617.63877813</v>
      </c>
      <c r="L13" s="10" t="n">
        <v>617.63877813</v>
      </c>
      <c r="M13" s="10" t="n">
        <v>617.63877813</v>
      </c>
      <c r="N13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(D6-D22)</f>
        <v/>
      </c>
      <c r="E5" s="14">
        <f>(E6-E22)</f>
        <v/>
      </c>
      <c r="F5" s="14">
        <f>(F6-F22)</f>
        <v/>
      </c>
      <c r="G5" s="14">
        <f>(G6-G22)</f>
        <v/>
      </c>
      <c r="H5" s="14">
        <f>(H6-H22)</f>
        <v/>
      </c>
      <c r="I5" s="14">
        <f>(I6-I22)</f>
        <v/>
      </c>
      <c r="J5" s="14">
        <f>(J6-J22)</f>
        <v/>
      </c>
      <c r="K5" s="14">
        <f>(K6-K22)</f>
        <v/>
      </c>
      <c r="L5" s="14">
        <f>(L6-L22)</f>
        <v/>
      </c>
      <c r="M5" s="14">
        <f>(M6-M22)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감가상각비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35.71458</v>
      </c>
      <c r="E12" s="19" t="n">
        <v>45.83276</v>
      </c>
      <c r="F12" s="19" t="n">
        <v>53.90911</v>
      </c>
      <c r="G12" s="19" t="n">
        <v>59.76686</v>
      </c>
      <c r="H12" s="19" t="n">
        <v>75.01629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0.35</v>
      </c>
      <c r="J13" s="26" t="n">
        <v>0.25</v>
      </c>
      <c r="K13" s="26" t="n">
        <v>0.15</v>
      </c>
      <c r="L13" s="26" t="n">
        <v>0.1</v>
      </c>
      <c r="M13" s="26" t="n">
        <v>0.08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1611.4808117</v>
      </c>
      <c r="E15" s="19" t="n">
        <v>1785.00435726</v>
      </c>
      <c r="F15" s="19" t="n">
        <v>1628.70819668</v>
      </c>
      <c r="G15" s="19" t="n">
        <v>1706.66660828</v>
      </c>
      <c r="H15" s="19" t="n">
        <v>2250.33474673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0.83</v>
      </c>
      <c r="J16" s="26" t="n">
        <v>0.825</v>
      </c>
      <c r="K16" s="26" t="n">
        <v>0.82</v>
      </c>
      <c r="L16" s="26" t="n">
        <v>0.8149999999999999</v>
      </c>
      <c r="M16" s="26" t="n">
        <v>0.8100000000000001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(D18*D21)</f>
        <v/>
      </c>
      <c r="E17" s="16">
        <f>(E18*E21)</f>
        <v/>
      </c>
      <c r="F17" s="16">
        <f>(F18*F21)</f>
        <v/>
      </c>
      <c r="G17" s="16">
        <f>(G18*G21)</f>
        <v/>
      </c>
      <c r="H17" s="16">
        <f>(H18*H21)</f>
        <v/>
      </c>
      <c r="I17" s="17">
        <f>(I18*I21)</f>
        <v/>
      </c>
      <c r="J17" s="17">
        <f>(J18*J21)</f>
        <v/>
      </c>
      <c r="K17" s="17">
        <f>(K18*K21)</f>
        <v/>
      </c>
      <c r="L17" s="17">
        <f>(L18*L21)</f>
        <v/>
      </c>
      <c r="M17" s="17">
        <f>(M18*M21)</f>
        <v/>
      </c>
    </row>
    <row r="18">
      <c r="A18" s="23" t="inlineStr">
        <is>
          <t>출하량</t>
        </is>
      </c>
      <c r="B18" s="2" t="inlineStr">
        <is>
          <t>qty</t>
        </is>
      </c>
      <c r="C18" s="2" t="inlineStr">
        <is>
          <t>천㎡</t>
        </is>
      </c>
      <c r="D18" s="16">
        <f>(D19*D20)</f>
        <v/>
      </c>
      <c r="E18" s="16">
        <f>(E19*E20)</f>
        <v/>
      </c>
      <c r="F18" s="16">
        <f>(F19*F20)</f>
        <v/>
      </c>
      <c r="G18" s="16">
        <f>(G19*G20)</f>
        <v/>
      </c>
      <c r="H18" s="16">
        <f>(H19*H20)</f>
        <v/>
      </c>
      <c r="I18" s="17">
        <f>(I19*I20)</f>
        <v/>
      </c>
      <c r="J18" s="17">
        <f>(J19*J20)</f>
        <v/>
      </c>
      <c r="K18" s="17">
        <f>(K19*K20)</f>
        <v/>
      </c>
      <c r="L18" s="17">
        <f>(L19*L20)</f>
        <v/>
      </c>
      <c r="M18" s="17">
        <f>(M19*M20)</f>
        <v/>
      </c>
    </row>
    <row r="19">
      <c r="A19" s="24" t="inlineStr">
        <is>
          <t>생산능력</t>
        </is>
      </c>
      <c r="B19" s="2" t="inlineStr">
        <is>
          <t>capacity</t>
        </is>
      </c>
      <c r="C19" s="2" t="inlineStr">
        <is>
          <t>천㎡</t>
        </is>
      </c>
      <c r="D19" s="19" t="n">
        <v>342</v>
      </c>
      <c r="E19" s="19" t="n">
        <v>348</v>
      </c>
      <c r="F19" s="19" t="n">
        <v>348</v>
      </c>
      <c r="G19" s="19" t="n">
        <v>348</v>
      </c>
      <c r="H19" s="19" t="n">
        <v>348</v>
      </c>
      <c r="I19" s="20" t="n">
        <v>360</v>
      </c>
      <c r="J19" s="20" t="n">
        <v>400</v>
      </c>
      <c r="K19" s="20" t="n">
        <v>430</v>
      </c>
      <c r="L19" s="20" t="n">
        <v>450</v>
      </c>
      <c r="M19" s="20" t="n">
        <v>460</v>
      </c>
    </row>
    <row r="20">
      <c r="A20" s="24" t="inlineStr">
        <is>
          <t>가동률</t>
        </is>
      </c>
      <c r="B20" s="2" t="inlineStr">
        <is>
          <t>util</t>
        </is>
      </c>
      <c r="C20" s="2" t="inlineStr">
        <is>
          <t>%</t>
        </is>
      </c>
      <c r="D20" s="25" t="n">
        <v>0.860946317519296</v>
      </c>
      <c r="E20" s="25" t="n">
        <v>0.8028427797711249</v>
      </c>
      <c r="F20" s="25" t="n">
        <v>0.6552676032886309</v>
      </c>
      <c r="G20" s="25" t="n">
        <v>0.613460265575915</v>
      </c>
      <c r="H20" s="25" t="n">
        <v>0.6780144209429898</v>
      </c>
      <c r="I20" s="26" t="n">
        <v>0.7</v>
      </c>
      <c r="J20" s="26" t="n">
        <v>0.72</v>
      </c>
      <c r="K20" s="26" t="n">
        <v>0.74</v>
      </c>
      <c r="L20" s="26" t="n">
        <v>0.76</v>
      </c>
      <c r="M20" s="26" t="n">
        <v>0.78</v>
      </c>
    </row>
    <row r="21">
      <c r="A21" s="23" t="inlineStr">
        <is>
          <t>단가</t>
        </is>
      </c>
      <c r="B21" s="2" t="inlineStr">
        <is>
          <t>price</t>
        </is>
      </c>
      <c r="C21" s="2" t="inlineStr">
        <is>
          <t>억원/천㎡</t>
        </is>
      </c>
      <c r="D21" s="19" t="n">
        <v>6.04869</v>
      </c>
      <c r="E21" s="19" t="n">
        <v>7.92973</v>
      </c>
      <c r="F21" s="19" t="n">
        <v>7.51236</v>
      </c>
      <c r="G21" s="19" t="n">
        <v>8.4316</v>
      </c>
      <c r="H21" s="19" t="n">
        <v>10.95566</v>
      </c>
      <c r="I21" s="20" t="n">
        <v>13.42</v>
      </c>
      <c r="J21" s="20" t="n">
        <v>14.23</v>
      </c>
      <c r="K21" s="20" t="n">
        <v>14.66</v>
      </c>
      <c r="L21" s="20" t="n">
        <v>14.95</v>
      </c>
      <c r="M21" s="20" t="n">
        <v>15.25</v>
      </c>
    </row>
    <row r="22">
      <c r="A22" s="15" t="inlineStr">
        <is>
          <t>순차입금</t>
        </is>
      </c>
      <c r="B22" s="2" t="inlineStr">
        <is>
          <t>net_debt</t>
        </is>
      </c>
      <c r="C22" s="2" t="inlineStr">
        <is>
          <t>억원</t>
        </is>
      </c>
      <c r="D22" s="19" t="n">
        <v>70.03945403</v>
      </c>
      <c r="E22" s="19" t="n">
        <v>-52.71277978</v>
      </c>
      <c r="F22" s="19" t="n">
        <v>298.34463868</v>
      </c>
      <c r="G22" s="19" t="n">
        <v>334.64758095</v>
      </c>
      <c r="H22" s="19" t="n">
        <v>617.63877813</v>
      </c>
      <c r="I22" s="20" t="n">
        <v>617.63877813</v>
      </c>
      <c r="J22" s="20" t="n">
        <v>617.63877813</v>
      </c>
      <c r="K22" s="20" t="n">
        <v>617.63877813</v>
      </c>
      <c r="L22" s="20" t="n">
        <v>617.63877813</v>
      </c>
      <c r="M22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'=(I6-I22)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qty * price</t>
        </is>
      </c>
      <c r="E12" s="11" t="inlineStr">
        <is>
          <t>'=(I18*I21)</t>
        </is>
      </c>
    </row>
    <row r="13">
      <c r="A13" s="2" t="inlineStr">
        <is>
          <t>qty</t>
        </is>
      </c>
      <c r="B13" s="5" t="inlineStr">
        <is>
          <t>출하량</t>
        </is>
      </c>
      <c r="C13" s="2" t="n">
        <v>18</v>
      </c>
      <c r="D13" s="27" t="inlineStr">
        <is>
          <t>capacity * util</t>
        </is>
      </c>
      <c r="E13" s="11" t="inlineStr">
        <is>
          <t>'=(I19*I20)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감가상각비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qty</t>
        </is>
      </c>
      <c r="B17" s="32" t="inlineStr">
        <is>
          <t>출하량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천㎡</t>
        </is>
      </c>
    </row>
    <row r="18">
      <c r="A18" s="2" t="inlineStr">
        <is>
          <t>capacity</t>
        </is>
      </c>
      <c r="B18" s="33" t="inlineStr">
        <is>
          <t>생산능력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천㎡</t>
        </is>
      </c>
    </row>
    <row r="19">
      <c r="A19" s="2" t="inlineStr">
        <is>
          <t>util</t>
        </is>
      </c>
      <c r="B19" s="33" t="inlineStr">
        <is>
          <t>가동률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price</t>
        </is>
      </c>
      <c r="B20" s="32" t="inlineStr">
        <is>
          <t>단가</t>
        </is>
      </c>
      <c r="C20" t="n">
        <v>5</v>
      </c>
      <c r="D20" t="inlineStr">
        <is>
          <t>input</t>
        </is>
      </c>
      <c r="E20" t="inlineStr"/>
      <c r="F20" t="n">
        <v>21</v>
      </c>
      <c r="G20" t="inlineStr">
        <is>
          <t>억원/천㎡</t>
        </is>
      </c>
    </row>
    <row r="21">
      <c r="A21" s="2" t="inlineStr">
        <is>
          <t>net_debt</t>
        </is>
      </c>
      <c r="B21" s="28" t="inlineStr">
        <is>
          <t>순차입금</t>
        </is>
      </c>
      <c r="C21" t="n">
        <v>1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4b1328f5f197cab7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18</v>
      </c>
    </row>
    <row r="8">
      <c r="A8" s="4" t="inlineStr">
        <is>
          <t>입력 노드 수</t>
        </is>
      </c>
      <c r="B8" t="n">
        <v>9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
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trol" sheetId="2" state="visible" r:id="rId2"/>
    <sheet name="Assumptions" sheetId="3" state="visible" r:id="rId3"/>
    <sheet name="Model" sheetId="4" state="visible" r:id="rId4"/>
    <sheet name="Formula Audit" sheetId="5" state="visible" r:id="rId5"/>
    <sheet name="Structure" sheetId="6" state="visible" r:id="rId6"/>
    <sheet name="Checks" sheetId="7" state="visible" r:id="rId7"/>
    <sheet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-* #,##0_-;-* #,##0_-;_-* &quot;-&quot;_-;_-@_-"/>
    <numFmt numFmtId="166" formatCode="0.000000"/>
  </numFmts>
  <fonts count="7">
    <font>
      <name val="Calibri"/>
      <family val="2"/>
      <color theme="1"/>
      <sz val="11"/>
      <scheme val="minor"/>
    </font>
    <font>
      <name val="Calibri"/>
      <b val="1"/>
      <color rgb="001E2185"/>
      <sz val="13"/>
    </font>
    <font>
      <name val="Calibri"/>
      <color rgb="006B7280"/>
      <sz val="9"/>
    </font>
    <font>
      <name val="Calibri"/>
      <b val="1"/>
      <color rgb="00FFFFFF"/>
      <sz val="10"/>
    </font>
    <font>
      <name val="Calibri"/>
      <b val="1"/>
      <color rgb="001C1C1C"/>
      <sz val="10"/>
    </font>
    <font>
      <name val="Calibri"/>
      <color rgb="001C1C1C"/>
      <sz val="10"/>
    </font>
    <font>
      <name val="Calibri"/>
      <color rgb="001F4E9C"/>
      <sz val="10"/>
    </font>
  </fonts>
  <fills count="6">
    <fill>
      <patternFill/>
    </fill>
    <fill>
      <patternFill patternType="gray125"/>
    </fill>
    <fill>
      <patternFill patternType="solid">
        <fgColor rgb="001E2185"/>
      </patternFill>
    </fill>
    <fill>
      <patternFill patternType="solid">
        <fgColor rgb="00EFEFF2"/>
      </patternFill>
    </fill>
    <fill>
      <patternFill patternType="solid">
        <fgColor rgb="00EDF3FF"/>
      </patternFill>
    </fill>
    <fill>
      <patternFill patternType="solid">
        <fgColor rgb="00DFE8FF"/>
      </patternFill>
    </fill>
  </fills>
  <borders count="2">
    <border>
      <left/>
      <right/>
      <top/>
      <bottom/>
      <diagonal/>
    </border>
    <border>
      <bottom style="thin">
        <color rgb="00D8DCE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6" fillId="3" borderId="0" pivotButton="0" quotePrefix="0" xfId="0"/>
    <xf numFmtId="164" fontId="6" fillId="0" borderId="0" pivotButton="0" quotePrefix="0" xfId="0"/>
    <xf numFmtId="0" fontId="2" fillId="0" borderId="0" applyAlignment="1" pivotButton="0" quotePrefix="0" xfId="0">
      <alignment vertical="top" wrapText="1"/>
    </xf>
    <xf numFmtId="165" fontId="6" fillId="3" borderId="0" pivotButton="0" quotePrefix="0" xfId="0"/>
    <xf numFmtId="165" fontId="6" fillId="0" borderId="0" pivotButton="0" quotePrefix="0" xfId="0"/>
    <xf numFmtId="165" fontId="5" fillId="5" borderId="1" pivotButton="0" quotePrefix="0" xfId="0"/>
    <xf numFmtId="0" fontId="4" fillId="0" borderId="0" applyAlignment="1" pivotButton="0" quotePrefix="0" xfId="0">
      <alignment indent="1"/>
    </xf>
    <xf numFmtId="165" fontId="5" fillId="3" borderId="1" pivotButton="0" quotePrefix="0" xfId="0"/>
    <xf numFmtId="165" fontId="5" fillId="0" borderId="1" pivotButton="0" quotePrefix="0" xfId="0"/>
    <xf numFmtId="0" fontId="5" fillId="0" borderId="0" applyAlignment="1" pivotButton="0" quotePrefix="0" xfId="0">
      <alignment indent="2"/>
    </xf>
    <xf numFmtId="0" fontId="5" fillId="0" borderId="0" applyAlignment="1" pivotButton="0" quotePrefix="0" xfId="0">
      <alignment indent="3"/>
    </xf>
    <xf numFmtId="0" fontId="5" fillId="0" borderId="0" applyAlignment="1" pivotButton="0" quotePrefix="0" xfId="0">
      <alignment indent="4"/>
    </xf>
    <xf numFmtId="0" fontId="5" fillId="0" borderId="0" applyAlignment="1" pivotButton="0" quotePrefix="0" xfId="0">
      <alignment indent="5"/>
    </xf>
    <xf numFmtId="0" fontId="5" fillId="0" borderId="0" applyAlignment="1" pivotButton="0" quotePrefix="0" xfId="0">
      <alignment indent="6"/>
    </xf>
    <xf numFmtId="164" fontId="6" fillId="3" borderId="1" pivotButton="0" quotePrefix="0" xfId="0"/>
    <xf numFmtId="164" fontId="6" fillId="0" borderId="1" pivotButton="0" quotePrefix="0" xfId="0"/>
    <xf numFmtId="0" fontId="5" fillId="0" borderId="0" applyAlignment="1" pivotButton="0" quotePrefix="0" xfId="0">
      <alignment indent="7"/>
    </xf>
    <xf numFmtId="0" fontId="5" fillId="0" borderId="0" applyAlignment="1" pivotButton="0" quotePrefix="0" xfId="0">
      <alignment indent="8"/>
    </xf>
    <xf numFmtId="165" fontId="6" fillId="3" borderId="1" pivotButton="0" quotePrefix="0" xfId="0"/>
    <xf numFmtId="165" fontId="6" fillId="0" borderId="1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indent="1"/>
    </xf>
    <xf numFmtId="0" fontId="0" fillId="0" borderId="0" applyAlignment="1" pivotButton="0" quotePrefix="0" xfId="0">
      <alignment indent="2"/>
    </xf>
    <xf numFmtId="0" fontId="0" fillId="0" borderId="0" applyAlignment="1" pivotButton="0" quotePrefix="0" xfId="0">
      <alignment indent="3"/>
    </xf>
    <xf numFmtId="0" fontId="0" fillId="0" borderId="0" applyAlignment="1" pivotButton="0" quotePrefix="0" xfId="0">
      <alignment indent="4"/>
    </xf>
    <xf numFmtId="0" fontId="0" fillId="0" borderId="0" applyAlignment="1" pivotButton="0" quotePrefix="0" xfId="0">
      <alignment indent="5"/>
    </xf>
    <xf numFmtId="0" fontId="0" fillId="0" borderId="0" applyAlignment="1" pivotButton="0" quotePrefix="0" xfId="0">
      <alignment indent="6"/>
    </xf>
    <xf numFmtId="0" fontId="0" fillId="0" borderId="0" applyAlignment="1" pivotButton="0" quotePrefix="0" xfId="0">
      <alignment indent="7"/>
    </xf>
    <xf numFmtId="0" fontId="0" fillId="0" borderId="0" applyAlignment="1" pivotButton="0" quotePrefix="0" xfId="0">
      <alignment indent="8"/>
    </xf>
    <xf numFmtId="166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KT&amp;G 투자심사 모델</t>
        </is>
      </c>
    </row>
    <row r="2">
      <c r="A2" s="2" t="inlineStr">
        <is>
          <t>tools/build_excel.py가 model.html에서 생성. 직접 고치지 말 것 — 다음 빌드에 덮인다.</t>
        </is>
      </c>
    </row>
    <row r="4">
      <c r="A4" s="3" t="inlineStr">
        <is>
          <t>시트</t>
        </is>
      </c>
      <c r="B4" s="3" t="inlineStr">
        <is>
          <t>내용</t>
        </is>
      </c>
    </row>
    <row r="5">
      <c r="A5" s="4" t="inlineStr">
        <is>
          <t>Index</t>
        </is>
      </c>
      <c r="B5" s="5" t="inlineStr">
        <is>
          <t>이 시트</t>
        </is>
      </c>
    </row>
    <row r="6">
      <c r="A6" s="4" t="inlineStr">
        <is>
          <t>Control</t>
        </is>
      </c>
      <c r="B6" s="5" t="inlineStr">
        <is>
          <t>모델 개요·전역 설정</t>
        </is>
      </c>
    </row>
    <row r="7">
      <c r="A7" s="4" t="inlineStr">
        <is>
          <t>Assumptions</t>
        </is>
      </c>
      <c r="B7" s="5" t="inlineStr">
        <is>
          <t>가정변수 일람과 근거</t>
        </is>
      </c>
    </row>
    <row r="8">
      <c r="A8" s="4" t="inlineStr">
        <is>
          <t>Model</t>
        </is>
      </c>
      <c r="B8" s="5" t="inlineStr">
        <is>
          <t>계정 트리 × 연도. 수식이 살아있는 본체</t>
        </is>
      </c>
    </row>
    <row r="9">
      <c r="A9" s="4" t="inlineStr">
        <is>
          <t>Formula Audit</t>
        </is>
      </c>
      <c r="B9" s="5" t="inlineStr">
        <is>
          <t>모델 원식 ↔ 셀 수식 대조</t>
        </is>
      </c>
    </row>
    <row r="10">
      <c r="A10" s="4" t="inlineStr">
        <is>
          <t>Structure</t>
        </is>
      </c>
      <c r="B10" s="5" t="inlineStr">
        <is>
          <t>트리 구조·깊이·행 배치</t>
        </is>
      </c>
    </row>
    <row r="11">
      <c r="A11" s="4" t="inlineStr">
        <is>
          <t>Checks</t>
        </is>
      </c>
      <c r="B11" s="5" t="inlineStr">
        <is>
          <t>부모 = 자식 합 정합 검증</t>
        </is>
      </c>
    </row>
    <row r="12">
      <c r="A12" s="4" t="inlineStr">
        <is>
          <t>Metadata</t>
        </is>
      </c>
      <c r="B12" s="5" t="inlineStr">
        <is>
          <t>빌드 정보</t>
        </is>
      </c>
    </row>
    <row r="14">
      <c r="A14" s="4" t="inlineStr">
        <is>
          <t>셀 색 규약</t>
        </is>
      </c>
    </row>
    <row r="15">
      <c r="A15" s="2" t="inlineStr">
        <is>
          <t>파랑 글자</t>
        </is>
      </c>
      <c r="B15" s="2" t="inlineStr">
        <is>
          <t>하드코딩 입력값 — 여기만 고친다</t>
        </is>
      </c>
    </row>
    <row r="16">
      <c r="A16" s="2" t="inlineStr">
        <is>
          <t>검정 글자</t>
        </is>
      </c>
      <c r="B16" s="2" t="inlineStr">
        <is>
          <t>수식</t>
        </is>
      </c>
    </row>
    <row r="17">
      <c r="A17" s="2" t="inlineStr">
        <is>
          <t>회색 배경</t>
        </is>
      </c>
      <c r="B17" s="2" t="inlineStr">
        <is>
          <t>실적(Historical) 구간 — 공시 확정값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컨트롤</t>
        </is>
      </c>
    </row>
    <row r="2">
      <c r="A2" s="2" t="inlineStr">
        <is>
          <t>가정을 바꾸려면 Assumptions 시트가 아니라 Model 시트의 파랑 셀을 고친다. Model이 계산의 단일 출처다.</t>
        </is>
      </c>
    </row>
    <row r="4">
      <c r="A4" s="4" t="inlineStr">
        <is>
          <t>모델</t>
        </is>
      </c>
      <c r="B4" t="inlineStr">
        <is>
          <t>KT&amp;G 투자심사 모델</t>
        </is>
      </c>
    </row>
    <row r="5">
      <c r="A5" s="4" t="inlineStr">
        <is>
          <t>통화 단위</t>
        </is>
      </c>
      <c r="B5" t="inlineStr">
        <is>
          <t>억원</t>
        </is>
      </c>
    </row>
    <row r="6">
      <c r="A6" s="4" t="inlineStr">
        <is>
          <t>범위</t>
        </is>
      </c>
      <c r="B6" t="inlineStr">
        <is>
          <t>매출 → 영업이익 → DCF</t>
        </is>
      </c>
    </row>
    <row r="7">
      <c r="A7" s="4" t="inlineStr">
        <is>
          <t>실적 연도 수 (HIST_N)</t>
        </is>
      </c>
      <c r="B7" t="n">
        <v>4</v>
      </c>
    </row>
    <row r="8">
      <c r="A8" s="4" t="inlineStr">
        <is>
          <t>추정 연도 수</t>
        </is>
      </c>
      <c r="B8" t="n">
        <v>5</v>
      </c>
    </row>
    <row r="9">
      <c r="A9" s="4" t="inlineStr">
        <is>
          <t>첫 연도</t>
        </is>
      </c>
      <c r="B9" t="inlineStr">
        <is>
          <t>2022</t>
        </is>
      </c>
    </row>
    <row r="10">
      <c r="A10" s="4" t="inlineStr">
        <is>
          <t>마지막 연도</t>
        </is>
      </c>
      <c r="B10" t="inlineStr">
        <is>
          <t>2030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90" customWidth="1" min="13" max="13"/>
  </cols>
  <sheetData>
    <row r="1">
      <c r="A1" s="1" t="inlineStr">
        <is>
          <t>가정변수 일람</t>
        </is>
      </c>
    </row>
    <row r="2">
      <c r="A2" s="2" t="inlineStr">
        <is>
          <t>파랑 = 하드코딩 입력값. 근거 열의 대괄호 태그가 객관/주관 구분이다.</t>
        </is>
      </c>
    </row>
    <row r="3">
      <c r="D3" s="6" t="inlineStr">
        <is>
          <t>실적</t>
        </is>
      </c>
      <c r="E3" s="6" t="inlineStr">
        <is>
          <t>실적</t>
        </is>
      </c>
      <c r="F3" s="6" t="inlineStr">
        <is>
          <t>실적</t>
        </is>
      </c>
      <c r="G3" s="6" t="inlineStr">
        <is>
          <t>실적</t>
        </is>
      </c>
      <c r="H3" s="7" t="inlineStr">
        <is>
          <t>추정</t>
        </is>
      </c>
      <c r="I3" s="7" t="inlineStr">
        <is>
          <t>추정</t>
        </is>
      </c>
      <c r="J3" s="7" t="inlineStr">
        <is>
          <t>추정</t>
        </is>
      </c>
      <c r="K3" s="7" t="inlineStr">
        <is>
          <t>추정</t>
        </is>
      </c>
      <c r="L3" s="7" t="inlineStr">
        <is>
          <t>추정</t>
        </is>
      </c>
    </row>
    <row r="4">
      <c r="A4" s="3" t="inlineStr">
        <is>
          <t>계정</t>
        </is>
      </c>
      <c r="B4" s="3" t="inlineStr">
        <is>
          <t>노드 id</t>
        </is>
      </c>
      <c r="C4" s="3" t="inlineStr">
        <is>
          <t>단위</t>
        </is>
      </c>
      <c r="D4" s="8" t="inlineStr">
        <is>
          <t>2022A</t>
        </is>
      </c>
      <c r="E4" s="8" t="inlineStr">
        <is>
          <t>2023A</t>
        </is>
      </c>
      <c r="F4" s="8" t="inlineStr">
        <is>
          <t>2024A</t>
        </is>
      </c>
      <c r="G4" s="8" t="inlineStr">
        <is>
          <t>2025A</t>
        </is>
      </c>
      <c r="H4" s="8" t="inlineStr">
        <is>
          <t>2026E</t>
        </is>
      </c>
      <c r="I4" s="8" t="inlineStr">
        <is>
          <t>2027E</t>
        </is>
      </c>
      <c r="J4" s="8" t="inlineStr">
        <is>
          <t>2028E</t>
        </is>
      </c>
      <c r="K4" s="8" t="inlineStr">
        <is>
          <t>2029E</t>
        </is>
      </c>
      <c r="L4" s="8" t="inlineStr">
        <is>
          <t>2030E</t>
        </is>
      </c>
      <c r="M4" s="3" t="inlineStr">
        <is>
          <t>근거</t>
        </is>
      </c>
    </row>
    <row r="5">
      <c r="A5" s="5" t="inlineStr">
        <is>
          <t>법인세율</t>
        </is>
      </c>
      <c r="B5" s="2" t="inlineStr">
        <is>
          <t>tax_rate</t>
        </is>
      </c>
      <c r="C5" s="2" t="inlineStr">
        <is>
          <t>%</t>
        </is>
      </c>
      <c r="D5" s="9" t="n">
        <v>0.24</v>
      </c>
      <c r="E5" s="9" t="n">
        <v>0.24</v>
      </c>
      <c r="F5" s="9" t="n">
        <v>0.24</v>
      </c>
      <c r="G5" s="9" t="n">
        <v>0.24</v>
      </c>
      <c r="H5" s="10" t="n">
        <v>0.24</v>
      </c>
      <c r="I5" s="10" t="n">
        <v>0.24</v>
      </c>
      <c r="J5" s="10" t="n">
        <v>0.24</v>
      </c>
      <c r="K5" s="10" t="n">
        <v>0.24</v>
      </c>
      <c r="L5" s="10" t="n">
        <v>0.24</v>
      </c>
      <c r="M5" s="11" t="inlineStr">
        <is>
          <t>[주관] 실효세율 24%로 고정했다. 국내 법인세 최고세율(지방세 포함 약 26%)에 해외 자회사 세율과 세액공제를 반영해 낮춘 값이다. 정확한 실효세율은 연도마다 다르나 DCF 결과에 대한 민감도가 낮아(민감도 뷰 참조) 단일값으로 둔다.</t>
        </is>
      </c>
    </row>
    <row r="6">
      <c r="A6" s="5" t="inlineStr">
        <is>
          <t>순이익 실적 마스크</t>
        </is>
      </c>
      <c r="B6" s="2" t="inlineStr">
        <is>
          <t>ni_hist</t>
        </is>
      </c>
      <c r="C6" s="2" t="inlineStr"/>
      <c r="D6" s="12" t="n">
        <v>1</v>
      </c>
      <c r="E6" s="12" t="n">
        <v>1</v>
      </c>
      <c r="F6" s="12" t="n">
        <v>1</v>
      </c>
      <c r="G6" s="12" t="n">
        <v>1</v>
      </c>
      <c r="H6" s="13" t="n">
        <v>0</v>
      </c>
      <c r="I6" s="13" t="n">
        <v>0</v>
      </c>
      <c r="J6" s="13" t="n">
        <v>0</v>
      </c>
      <c r="K6" s="13" t="n">
        <v>0</v>
      </c>
      <c r="L6" s="13" t="n">
        <v>0</v>
      </c>
      <c r="M6" s="11" t="inlineStr">
        <is>
          <t>[객관] 실적 연도 표시(1). 순이익은 적자 연도가 있어 "실적 &gt; 0" 관용구를 쓸 수 없다 — LGD·삼성전자 DS에서 확립한 hist 마스크 패턴.</t>
        </is>
      </c>
    </row>
    <row r="7">
      <c r="A7" s="5" t="inlineStr">
        <is>
          <t>순이익 실적</t>
        </is>
      </c>
      <c r="B7" s="2" t="inlineStr">
        <is>
          <t>ni_actual</t>
        </is>
      </c>
      <c r="C7" s="2" t="inlineStr">
        <is>
          <t>억원</t>
        </is>
      </c>
      <c r="D7" s="12" t="n">
        <v>10157.85</v>
      </c>
      <c r="E7" s="12" t="n">
        <v>9026.620000000001</v>
      </c>
      <c r="F7" s="12" t="n">
        <v>11657.27</v>
      </c>
      <c r="G7" s="12" t="n">
        <v>10900.72</v>
      </c>
      <c r="H7" s="13" t="n">
        <v>0</v>
      </c>
      <c r="I7" s="13" t="n">
        <v>0</v>
      </c>
      <c r="J7" s="13" t="n">
        <v>0</v>
      </c>
      <c r="K7" s="13" t="n">
        <v>0</v>
      </c>
      <c r="L7" s="13" t="n">
        <v>0</v>
      </c>
      <c r="M7" s="11" t="inlineStr">
        <is>
          <t>[객관] 연결 지배주주 순이익 확정값 (사업보고서 연결포괄손익계산서).</t>
        </is>
      </c>
    </row>
    <row r="8">
      <c r="A8" s="5" t="inlineStr">
        <is>
          <t>영업외손익</t>
        </is>
      </c>
      <c r="B8" s="2" t="inlineStr">
        <is>
          <t>nonop</t>
        </is>
      </c>
      <c r="C8" s="2" t="inlineStr">
        <is>
          <t>억원</t>
        </is>
      </c>
      <c r="D8" s="12" t="n">
        <v>1618.19</v>
      </c>
      <c r="E8" s="12" t="n">
        <v>810.8200000000001</v>
      </c>
      <c r="F8" s="12" t="n">
        <v>3770.25</v>
      </c>
      <c r="G8" s="12" t="n">
        <v>1115.91</v>
      </c>
      <c r="H8" s="13" t="n">
        <v>1200</v>
      </c>
      <c r="I8" s="13" t="n">
        <v>1200</v>
      </c>
      <c r="J8" s="13" t="n">
        <v>1200</v>
      </c>
      <c r="K8" s="13" t="n">
        <v>1200</v>
      </c>
      <c r="L8" s="13" t="n">
        <v>1200</v>
      </c>
      <c r="M8" s="11" t="inlineStr">
        <is>
          <t>[주관 추정 · 실적은 공시값] 영업외손익 = 세전이익 − 영업이익(연결). 실적 +1,618/+811/+3,770/+1,116억 — 금융수익·부동산 관련. 2024 급증은 경상 수준이 아니라고 보고 **+1,200억 고정**.</t>
        </is>
      </c>
    </row>
    <row r="9">
      <c r="A9" s="5" t="inlineStr">
        <is>
          <t>지배지분 비율</t>
        </is>
      </c>
      <c r="B9" s="2" t="inlineStr">
        <is>
          <t>ctrl_ratio</t>
        </is>
      </c>
      <c r="C9" s="2" t="inlineStr">
        <is>
          <t>%</t>
        </is>
      </c>
      <c r="D9" s="9" t="n">
        <v>0</v>
      </c>
      <c r="E9" s="9" t="n">
        <v>0</v>
      </c>
      <c r="F9" s="9" t="n">
        <v>0</v>
      </c>
      <c r="G9" s="9" t="n">
        <v>0</v>
      </c>
      <c r="H9" s="10" t="n">
        <v>0.99</v>
      </c>
      <c r="I9" s="10" t="n">
        <v>0.99</v>
      </c>
      <c r="J9" s="10" t="n">
        <v>0.99</v>
      </c>
      <c r="K9" s="10" t="n">
        <v>0.99</v>
      </c>
      <c r="L9" s="10" t="n">
        <v>0.99</v>
      </c>
      <c r="M9" s="11" t="inlineStr">
        <is>
          <t>[주관] 지배지분 비율. 실적 98~101%(비지배 손익이 음수인 해 존재) — 99% 고정.</t>
        </is>
      </c>
    </row>
    <row r="10">
      <c r="A10" s="5" t="inlineStr">
        <is>
          <t>상장주식수</t>
        </is>
      </c>
      <c r="B10" s="2" t="inlineStr">
        <is>
          <t>shares</t>
        </is>
      </c>
      <c r="C10" s="2" t="inlineStr">
        <is>
          <t>백만주</t>
        </is>
      </c>
      <c r="D10" s="12" t="n">
        <v>103.810456</v>
      </c>
      <c r="E10" s="12" t="n">
        <v>103.810456</v>
      </c>
      <c r="F10" s="12" t="n">
        <v>103.810456</v>
      </c>
      <c r="G10" s="12" t="n">
        <v>103.810456</v>
      </c>
      <c r="H10" s="13" t="n">
        <v>103.810456</v>
      </c>
      <c r="I10" s="13" t="n">
        <v>103.810456</v>
      </c>
      <c r="J10" s="13" t="n">
        <v>103.810456</v>
      </c>
      <c r="K10" s="13" t="n">
        <v>103.810456</v>
      </c>
      <c r="L10" s="13" t="n">
        <v>103.810456</v>
      </c>
      <c r="M10" s="11" t="inlineStr">
        <is>
          <t>[객관] 상장 보통주 103,810,456주 고정. 자사주 소각으로 매년 줄어온 주식수의 현재값 — **소각 지속 시 EPS에 추가 상방**이 있으나 미모델.</t>
        </is>
      </c>
    </row>
    <row r="11">
      <c r="A11" s="5" t="inlineStr">
        <is>
          <t>DPS 실적</t>
        </is>
      </c>
      <c r="B11" s="2" t="inlineStr">
        <is>
          <t>dps_a</t>
        </is>
      </c>
      <c r="C11" s="2" t="inlineStr">
        <is>
          <t>원</t>
        </is>
      </c>
      <c r="D11" s="12" t="n">
        <v>5000</v>
      </c>
      <c r="E11" s="12" t="n">
        <v>5200</v>
      </c>
      <c r="F11" s="12" t="n">
        <v>5400</v>
      </c>
      <c r="G11" s="12" t="n">
        <v>6000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1" t="inlineStr">
        <is>
          <t>[객관] 주당 현금배당. 실적 5,000/5,200/5,400/6,000원 — 4년 연속 증배.</t>
        </is>
      </c>
    </row>
    <row r="12">
      <c r="A12" s="5" t="inlineStr">
        <is>
          <t>배당성향</t>
        </is>
      </c>
      <c r="B12" s="2" t="inlineStr">
        <is>
          <t>payout</t>
        </is>
      </c>
      <c r="C12" s="2" t="inlineStr">
        <is>
          <t>%</t>
        </is>
      </c>
      <c r="D12" s="9" t="n">
        <v>0</v>
      </c>
      <c r="E12" s="9" t="n">
        <v>0</v>
      </c>
      <c r="F12" s="9" t="n">
        <v>0</v>
      </c>
      <c r="G12" s="9" t="n">
        <v>0</v>
      </c>
      <c r="H12" s="10" t="n">
        <v>0.57</v>
      </c>
      <c r="I12" s="10" t="n">
        <v>0.57</v>
      </c>
      <c r="J12" s="10" t="n">
        <v>0.57</v>
      </c>
      <c r="K12" s="10" t="n">
        <v>0.57</v>
      </c>
      <c r="L12" s="10" t="n">
        <v>0.57</v>
      </c>
      <c r="M12" s="11" t="inlineStr">
        <is>
          <t>[주관] 배당성향. 실적 57.2/65.4/50.5/57.6% — **57% 유지** 가정. 자사주 소각을 더한 총주주환원은 이보다 높다.</t>
        </is>
      </c>
    </row>
    <row r="13">
      <c r="A13" s="5" t="inlineStr">
        <is>
          <t>감가상각비 실적</t>
        </is>
      </c>
      <c r="B13" s="2" t="inlineStr">
        <is>
          <t>dep_actual</t>
        </is>
      </c>
      <c r="C13" s="2" t="inlineStr">
        <is>
          <t>억원</t>
        </is>
      </c>
      <c r="D13" s="12" t="n">
        <v>2341</v>
      </c>
      <c r="E13" s="12" t="n">
        <v>2515</v>
      </c>
      <c r="F13" s="12" t="n">
        <v>2626</v>
      </c>
      <c r="G13" s="12" t="n">
        <v>3043</v>
      </c>
      <c r="H13" s="13" t="n">
        <v>0</v>
      </c>
      <c r="I13" s="13" t="n">
        <v>0</v>
      </c>
      <c r="J13" s="13" t="n">
        <v>0</v>
      </c>
      <c r="K13" s="13" t="n">
        <v>0</v>
      </c>
      <c r="L13" s="13" t="n">
        <v>0</v>
      </c>
      <c r="M13" s="11" t="inlineStr">
        <is>
          <t>[객관] DART 연결 영업부문 주석. 추정 구간은 0으로 두고 증가율로 굴린다.</t>
        </is>
      </c>
    </row>
    <row r="14">
      <c r="A14" s="5" t="inlineStr">
        <is>
          <t>감가상각 증가율</t>
        </is>
      </c>
      <c r="B14" s="2" t="inlineStr">
        <is>
          <t>dep_g</t>
        </is>
      </c>
      <c r="C14" s="2" t="inlineStr">
        <is>
          <t>%</t>
        </is>
      </c>
      <c r="D14" s="9" t="n">
        <v>0</v>
      </c>
      <c r="E14" s="9" t="n">
        <v>0</v>
      </c>
      <c r="F14" s="9" t="n">
        <v>0</v>
      </c>
      <c r="G14" s="9" t="n">
        <v>0</v>
      </c>
      <c r="H14" s="10" t="n">
        <v>0.09</v>
      </c>
      <c r="I14" s="10" t="n">
        <v>0.07000000000000001</v>
      </c>
      <c r="J14" s="10" t="n">
        <v>0.05</v>
      </c>
      <c r="K14" s="10" t="n">
        <v>0.04</v>
      </c>
      <c r="L14" s="10" t="n">
        <v>0.03</v>
      </c>
      <c r="M14" s="11" t="inlineStr">
        <is>
          <t>[주관] 실적 4년 연평균 +9.1%. CAPEX가 2024년에 정점을 찍고 내려오는 것을 반영해 9%에서 3%로 낮췄다. CAPEX 비율 가정과 방향이 일치해야 한다 — 둘이 어긋나면 감가상각이 투자와 무관하게 움직이는 모델이 된다.</t>
        </is>
      </c>
    </row>
    <row r="15">
      <c r="A15" s="5" t="inlineStr">
        <is>
          <t>기타비용 실적</t>
        </is>
      </c>
      <c r="B15" s="2" t="inlineStr">
        <is>
          <t>other_actual</t>
        </is>
      </c>
      <c r="C15" s="2" t="inlineStr">
        <is>
          <t>억원</t>
        </is>
      </c>
      <c r="D15" s="12" t="n">
        <v>43496</v>
      </c>
      <c r="E15" s="12" t="n">
        <v>44438</v>
      </c>
      <c r="F15" s="12" t="n">
        <v>44574</v>
      </c>
      <c r="G15" s="12" t="n">
        <v>49317</v>
      </c>
      <c r="H15" s="13" t="n">
        <v>0</v>
      </c>
      <c r="I15" s="13" t="n">
        <v>0</v>
      </c>
      <c r="J15" s="13" t="n">
        <v>0</v>
      </c>
      <c r="K15" s="13" t="n">
        <v>0</v>
      </c>
      <c r="L15" s="13" t="n">
        <v>0</v>
      </c>
      <c r="M15" s="11" t="inlineStr">
        <is>
          <t>[객관] 매출 − 영업이익 − 감가상각비로 유도한 확정값.</t>
        </is>
      </c>
    </row>
    <row r="16">
      <c r="A16" s="5" t="inlineStr">
        <is>
          <t>기타비용률</t>
        </is>
      </c>
      <c r="B16" s="2" t="inlineStr">
        <is>
          <t>other_ratio</t>
        </is>
      </c>
      <c r="C16" s="2" t="inlineStr">
        <is>
          <t>%</t>
        </is>
      </c>
      <c r="D16" s="9" t="n">
        <v>0</v>
      </c>
      <c r="E16" s="9" t="n">
        <v>0</v>
      </c>
      <c r="F16" s="9" t="n">
        <v>0</v>
      </c>
      <c r="G16" s="9" t="n">
        <v>0</v>
      </c>
      <c r="H16" s="10" t="n">
        <v>0.75</v>
      </c>
      <c r="I16" s="10" t="n">
        <v>0.749</v>
      </c>
      <c r="J16" s="10" t="n">
        <v>0.748</v>
      </c>
      <c r="K16" s="10" t="n">
        <v>0.747</v>
      </c>
      <c r="L16" s="10" t="n">
        <v>0.746</v>
      </c>
      <c r="M16" s="11" t="inlineStr">
        <is>
          <t>[주관] 매출 대비 기타비용. 실적 74.3% → 75.8% → 75.4% → 75.0%로 4년 내내 1.5%p 범위 안이다. 이 회사에서 가장 예측 가능한 숫자다. 2025년 수준에서 연 0.1%p씩만 개선한다고 봤다 — 해외 매출 비중 상승에 따른 믹스 개선을 최소한으로만 반영한 것이고, 근거가 약해 크게 움직이지 않았다.</t>
        </is>
      </c>
    </row>
    <row r="17">
      <c r="A17" s="5" t="inlineStr">
        <is>
          <t>담배 실적</t>
        </is>
      </c>
      <c r="B17" s="2" t="inlineStr">
        <is>
          <t>tob_actual</t>
        </is>
      </c>
      <c r="C17" s="2" t="inlineStr">
        <is>
          <t>억원</t>
        </is>
      </c>
      <c r="D17" s="12" t="n">
        <v>35738</v>
      </c>
      <c r="E17" s="12" t="n">
        <v>36123</v>
      </c>
      <c r="F17" s="12" t="n">
        <v>39056</v>
      </c>
      <c r="G17" s="12" t="n">
        <v>43672</v>
      </c>
      <c r="H17" s="13" t="n">
        <v>0</v>
      </c>
      <c r="I17" s="13" t="n">
        <v>0</v>
      </c>
      <c r="J17" s="13" t="n">
        <v>0</v>
      </c>
      <c r="K17" s="13" t="n">
        <v>0</v>
      </c>
      <c r="L17" s="13" t="n">
        <v>0</v>
      </c>
      <c r="M17" s="11" t="inlineStr">
        <is>
          <t>[객관] DART 연결 영업부문 주석 외부고객수익.</t>
        </is>
      </c>
    </row>
    <row r="18">
      <c r="A18" s="5" t="inlineStr">
        <is>
          <t>담배 성장률</t>
        </is>
      </c>
      <c r="B18" s="2" t="inlineStr">
        <is>
          <t>tob_g</t>
        </is>
      </c>
      <c r="C18" s="2" t="inlineStr">
        <is>
          <t>%</t>
        </is>
      </c>
      <c r="D18" s="9" t="n">
        <v>0</v>
      </c>
      <c r="E18" s="9" t="n">
        <v>0</v>
      </c>
      <c r="F18" s="9" t="n">
        <v>0</v>
      </c>
      <c r="G18" s="9" t="n">
        <v>0</v>
      </c>
      <c r="H18" s="10" t="n">
        <v>0.07000000000000001</v>
      </c>
      <c r="I18" s="10" t="n">
        <v>0.06</v>
      </c>
      <c r="J18" s="10" t="n">
        <v>0.05</v>
      </c>
      <c r="K18" s="10" t="n">
        <v>0.04</v>
      </c>
      <c r="L18" s="10" t="n">
        <v>0.03</v>
      </c>
      <c r="M18" s="11" t="inlineStr">
        <is>
          <t>[주관] 국내는 물량 감소·단가 상승으로 대체로 보합이고, 성장은 전부 해외에서 온다. 최근 2년 +8.1%, +11.8%를 그대로 연장하지 않고 7%에서 3%로 체감시켰다 — 해외 진출 초기의 높은 성장률은 기저가 커지면 유지되지 않는다.</t>
        </is>
      </c>
    </row>
    <row r="19">
      <c r="A19" s="5" t="inlineStr">
        <is>
          <t>인삼 실적</t>
        </is>
      </c>
      <c r="B19" s="2" t="inlineStr">
        <is>
          <t>gin_actual</t>
        </is>
      </c>
      <c r="C19" s="2" t="inlineStr">
        <is>
          <t>억원</t>
        </is>
      </c>
      <c r="D19" s="12" t="n">
        <v>13890</v>
      </c>
      <c r="E19" s="12" t="n">
        <v>13935</v>
      </c>
      <c r="F19" s="12" t="n">
        <v>13016</v>
      </c>
      <c r="G19" s="12" t="n">
        <v>11370</v>
      </c>
      <c r="H19" s="13" t="n">
        <v>0</v>
      </c>
      <c r="I19" s="13" t="n">
        <v>0</v>
      </c>
      <c r="J19" s="13" t="n">
        <v>0</v>
      </c>
      <c r="K19" s="13" t="n">
        <v>0</v>
      </c>
      <c r="L19" s="13" t="n">
        <v>0</v>
      </c>
      <c r="M19" s="11" t="inlineStr">
        <is>
          <t>[객관] DART 연결 영업부문 주석 외부고객수익.</t>
        </is>
      </c>
    </row>
    <row r="20">
      <c r="A20" s="5" t="inlineStr">
        <is>
          <t>인삼 성장률</t>
        </is>
      </c>
      <c r="B20" s="2" t="inlineStr">
        <is>
          <t>gin_g</t>
        </is>
      </c>
      <c r="C20" s="2" t="inlineStr">
        <is>
          <t>%</t>
        </is>
      </c>
      <c r="D20" s="9" t="n">
        <v>0</v>
      </c>
      <c r="E20" s="9" t="n">
        <v>0</v>
      </c>
      <c r="F20" s="9" t="n">
        <v>0</v>
      </c>
      <c r="G20" s="9" t="n">
        <v>0</v>
      </c>
      <c r="H20" s="10" t="n">
        <v>-0.03</v>
      </c>
      <c r="I20" s="10" t="n">
        <v>0</v>
      </c>
      <c r="J20" s="10" t="n">
        <v>0.01</v>
      </c>
      <c r="K20" s="10" t="n">
        <v>0.01</v>
      </c>
      <c r="L20" s="10" t="n">
        <v>0.01</v>
      </c>
      <c r="M20" s="11" t="inlineStr">
        <is>
          <t>[주관] 감소폭이 −12.6%에서 −3%로 줄고 이후 보합~소폭 회복으로 봤다. 반등의 근거가 강하지 않아 Base에서는 회복을 거의 넣지 않았다 — 감소가 이어지는 경우가 Bear 시나리오다.</t>
        </is>
      </c>
    </row>
    <row r="21">
      <c r="A21" s="5" t="inlineStr">
        <is>
          <t>부동산 실적</t>
        </is>
      </c>
      <c r="B21" s="2" t="inlineStr">
        <is>
          <t>est_actual</t>
        </is>
      </c>
      <c r="C21" s="2" t="inlineStr">
        <is>
          <t>억원</t>
        </is>
      </c>
      <c r="D21" s="12" t="n">
        <v>6071</v>
      </c>
      <c r="E21" s="12" t="n">
        <v>5501</v>
      </c>
      <c r="F21" s="12" t="n">
        <v>3613</v>
      </c>
      <c r="G21" s="12" t="n">
        <v>7127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1" t="inlineStr">
        <is>
          <t>[객관] DART 연결 영업부문 주석 외부고객수익.</t>
        </is>
      </c>
    </row>
    <row r="22">
      <c r="A22" s="5" t="inlineStr">
        <is>
          <t>부동산 성장률</t>
        </is>
      </c>
      <c r="B22" s="2" t="inlineStr">
        <is>
          <t>est_g</t>
        </is>
      </c>
      <c r="C22" s="2" t="inlineStr">
        <is>
          <t>%</t>
        </is>
      </c>
      <c r="D22" s="9" t="n">
        <v>0</v>
      </c>
      <c r="E22" s="9" t="n">
        <v>0</v>
      </c>
      <c r="F22" s="9" t="n">
        <v>0</v>
      </c>
      <c r="G22" s="9" t="n">
        <v>0</v>
      </c>
      <c r="H22" s="10" t="n">
        <v>-0.2</v>
      </c>
      <c r="I22" s="10" t="n">
        <v>-0.02</v>
      </c>
      <c r="J22" s="10" t="n">
        <v>0</v>
      </c>
      <c r="K22" s="10" t="n">
        <v>0</v>
      </c>
      <c r="L22" s="10" t="n">
        <v>0</v>
      </c>
      <c r="M22" s="11" t="inlineStr">
        <is>
          <t>[주관] 2025년 7,127억은 분양 인식이 몰린 해로 보고 평균 수준으로 되돌렸다. 이 부문은 성장률로 굴리는 것 자체가 부적절하나(분양은 프로젝트 단위다) 공시가 파이프라인을 주지 않아 대안이 없다. 전사 매출의 11%라 DCF 결과에 미치는 영향은 제한적이다 — 민감도 뷰에서 확인할 수 있다.</t>
        </is>
      </c>
    </row>
    <row r="23">
      <c r="A23" s="5" t="inlineStr">
        <is>
          <t>기타 실적</t>
        </is>
      </c>
      <c r="B23" s="2" t="inlineStr">
        <is>
          <t>etc_actual</t>
        </is>
      </c>
      <c r="C23" s="2" t="inlineStr">
        <is>
          <t>억원</t>
        </is>
      </c>
      <c r="D23" s="12" t="n">
        <v>2815</v>
      </c>
      <c r="E23" s="12" t="n">
        <v>3067</v>
      </c>
      <c r="F23" s="12" t="n">
        <v>3403</v>
      </c>
      <c r="G23" s="12" t="n">
        <v>3628</v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0</v>
      </c>
      <c r="M23" s="11" t="inlineStr">
        <is>
          <t>[객관] DART 연결 영업부문 주석 외부고객수익.</t>
        </is>
      </c>
    </row>
    <row r="24">
      <c r="A24" s="5" t="inlineStr">
        <is>
          <t>기타 성장률</t>
        </is>
      </c>
      <c r="B24" s="2" t="inlineStr">
        <is>
          <t>etc_g</t>
        </is>
      </c>
      <c r="C24" s="2" t="inlineStr">
        <is>
          <t>%</t>
        </is>
      </c>
      <c r="D24" s="9" t="n">
        <v>0</v>
      </c>
      <c r="E24" s="9" t="n">
        <v>0</v>
      </c>
      <c r="F24" s="9" t="n">
        <v>0</v>
      </c>
      <c r="G24" s="9" t="n">
        <v>0</v>
      </c>
      <c r="H24" s="10" t="n">
        <v>0.05</v>
      </c>
      <c r="I24" s="10" t="n">
        <v>0.05</v>
      </c>
      <c r="J24" s="10" t="n">
        <v>0.04</v>
      </c>
      <c r="K24" s="10" t="n">
        <v>0.04</v>
      </c>
      <c r="L24" s="10" t="n">
        <v>0.03</v>
      </c>
      <c r="M24" s="11" t="inlineStr">
        <is>
          <t>[주관] 실적 4년 연평균 +8.8%에서 체감시켰다.</t>
        </is>
      </c>
    </row>
    <row r="25">
      <c r="A25" s="5" t="inlineStr">
        <is>
          <t>CAPEX 실적</t>
        </is>
      </c>
      <c r="B25" s="2" t="inlineStr">
        <is>
          <t>capex_actual</t>
        </is>
      </c>
      <c r="C25" s="2" t="inlineStr">
        <is>
          <t>억원</t>
        </is>
      </c>
      <c r="D25" s="12" t="n">
        <v>2829</v>
      </c>
      <c r="E25" s="12" t="n">
        <v>5134</v>
      </c>
      <c r="F25" s="12" t="n">
        <v>7972</v>
      </c>
      <c r="G25" s="12" t="n">
        <v>6745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1" t="inlineStr">
        <is>
          <t>[객관] 연결 현금흐름표 투자활동. 추정 구간은 0으로 두고 비율로 굴린다.</t>
        </is>
      </c>
    </row>
    <row r="26">
      <c r="A26" s="5" t="inlineStr">
        <is>
          <t>CAPEX 비율</t>
        </is>
      </c>
      <c r="B26" s="2" t="inlineStr">
        <is>
          <t>capex_ratio</t>
        </is>
      </c>
      <c r="C26" s="2" t="inlineStr">
        <is>
          <t>%</t>
        </is>
      </c>
      <c r="D26" s="9" t="n">
        <v>0</v>
      </c>
      <c r="E26" s="9" t="n">
        <v>0</v>
      </c>
      <c r="F26" s="9" t="n">
        <v>0</v>
      </c>
      <c r="G26" s="9" t="n">
        <v>0</v>
      </c>
      <c r="H26" s="10" t="n">
        <v>0.095</v>
      </c>
      <c r="I26" s="10" t="n">
        <v>0.09</v>
      </c>
      <c r="J26" s="10" t="n">
        <v>0.08500000000000001</v>
      </c>
      <c r="K26" s="10" t="n">
        <v>0.08</v>
      </c>
      <c r="L26" s="10" t="n">
        <v>0.075</v>
      </c>
      <c r="M26" s="11" t="inlineStr">
        <is>
          <t>[주관] 매출 대비 CAPEX. 실적 4.8% → 8.8% → 13.5% → 10.3%로 최근 3년이 투자 확대 국면이었다. 해외 궐련 생산능력 확충이 일단락된다고 보고 9.5%에서 7.5%로 완만히 낮췄다. 감가상각비(3.0%)보다 여전히 높게 둔 것은 성장 투자가 이어진다는 뜻이다.</t>
        </is>
      </c>
    </row>
    <row r="27">
      <c r="A27" s="5" t="inlineStr">
        <is>
          <t>실적 구간 표시</t>
        </is>
      </c>
      <c r="B27" s="2" t="inlineStr">
        <is>
          <t>df_hist</t>
        </is>
      </c>
      <c r="C27" s="2" t="inlineStr"/>
      <c r="D27" s="12" t="n">
        <v>1</v>
      </c>
      <c r="E27" s="12" t="n">
        <v>1</v>
      </c>
      <c r="F27" s="12" t="n">
        <v>1</v>
      </c>
      <c r="G27" s="12" t="n">
        <v>1</v>
      </c>
      <c r="H27" s="13" t="n">
        <v>0</v>
      </c>
      <c r="I27" s="13" t="n">
        <v>0</v>
      </c>
      <c r="J27" s="13" t="n">
        <v>0</v>
      </c>
      <c r="K27" s="13" t="n">
        <v>0</v>
      </c>
      <c r="L27" s="13" t="n">
        <v>0</v>
      </c>
      <c r="M27" s="11" t="inlineStr">
        <is>
          <t>[객관] 실적 구간이면 1, 추정 구간이면 0. 할인을 언제부터 시작할지 정하는 마스크다. 엔진에 연도 인덱스 함수가 없어 데이터로 표현한다.</t>
        </is>
      </c>
    </row>
    <row r="28">
      <c r="A28" s="5" t="inlineStr">
        <is>
          <t>WACC</t>
        </is>
      </c>
      <c r="B28" s="2" t="inlineStr">
        <is>
          <t>wacc</t>
        </is>
      </c>
      <c r="C28" s="2" t="inlineStr">
        <is>
          <t>%</t>
        </is>
      </c>
      <c r="D28" s="9" t="n">
        <v>0.08</v>
      </c>
      <c r="E28" s="9" t="n">
        <v>0.08</v>
      </c>
      <c r="F28" s="9" t="n">
        <v>0.08</v>
      </c>
      <c r="G28" s="9" t="n">
        <v>0.08</v>
      </c>
      <c r="H28" s="10" t="n">
        <v>0.08</v>
      </c>
      <c r="I28" s="10" t="n">
        <v>0.08</v>
      </c>
      <c r="J28" s="10" t="n">
        <v>0.08</v>
      </c>
      <c r="K28" s="10" t="n">
        <v>0.08</v>
      </c>
      <c r="L28" s="10" t="n">
        <v>0.08</v>
      </c>
      <c r="M28" s="11" t="inlineStr">
        <is>
          <t>[주관] 가중평균자본비용 8.0%. 무위험수익률 3% + 베타 0.6 × 시장위험프리미엄 7% ≈ 7.2%의 자기자본비용에, 순차입금 비중이 낮아 사실상 자기자본비용이 그대로 WACC가 된다. 여유를 둬 8%로 올렸다. 이 모델에서 목표배수에 해당하는 가장 강력한 단일 가정이다 — 민감도 뷰에서 확인한다.</t>
        </is>
      </c>
    </row>
    <row r="29">
      <c r="A29" s="5" t="inlineStr">
        <is>
          <t>영구성장률</t>
        </is>
      </c>
      <c r="B29" s="2" t="inlineStr">
        <is>
          <t>tv_growth</t>
        </is>
      </c>
      <c r="C29" s="2" t="inlineStr">
        <is>
          <t>%</t>
        </is>
      </c>
      <c r="D29" s="9" t="n">
        <v>0.01</v>
      </c>
      <c r="E29" s="9" t="n">
        <v>0.01</v>
      </c>
      <c r="F29" s="9" t="n">
        <v>0.01</v>
      </c>
      <c r="G29" s="9" t="n">
        <v>0.01</v>
      </c>
      <c r="H29" s="10" t="n">
        <v>0.01</v>
      </c>
      <c r="I29" s="10" t="n">
        <v>0.01</v>
      </c>
      <c r="J29" s="10" t="n">
        <v>0.01</v>
      </c>
      <c r="K29" s="10" t="n">
        <v>0.01</v>
      </c>
      <c r="L29" s="10" t="n">
        <v>0.01</v>
      </c>
      <c r="M29" s="11" t="inlineStr">
        <is>
          <t>[주관] 1.0%. 국내 궐련 시장은 물량이 줄고 단가가 오르는 구조라 장기 성장률을 물가상승률 아래로 둔다. 해외 궐련·NGP가 이를 상쇄한다는 것이 상방 논리이나 Base에는 반영하지 않았다.</t>
        </is>
      </c>
    </row>
    <row r="30">
      <c r="A30" s="5" t="inlineStr">
        <is>
          <t>순차입금</t>
        </is>
      </c>
      <c r="B30" s="2" t="inlineStr">
        <is>
          <t>net_debt</t>
        </is>
      </c>
      <c r="C30" s="2" t="inlineStr">
        <is>
          <t>억원</t>
        </is>
      </c>
      <c r="D30" s="12" t="n">
        <v>-12455</v>
      </c>
      <c r="E30" s="12" t="n">
        <v>-4964</v>
      </c>
      <c r="F30" s="12" t="n">
        <v>3375</v>
      </c>
      <c r="G30" s="12" t="n">
        <v>8556</v>
      </c>
      <c r="H30" s="13" t="n">
        <v>8556</v>
      </c>
      <c r="I30" s="13" t="n">
        <v>8556</v>
      </c>
      <c r="J30" s="13" t="n">
        <v>8556</v>
      </c>
      <c r="K30" s="13" t="n">
        <v>8556</v>
      </c>
      <c r="L30" s="13" t="n">
        <v>8556</v>
      </c>
      <c r="M30" s="11" t="inlineStr">
        <is>
          <t>[객관 실적 / 추정 구간 고정] 차입금(단기·유동성장기·사채·장기) − 현금및현금성자산. 2022년 −12,455억 순현금에서 2025년 8,556억 순차입으로 3년 만에 뒤집혔다 — 자사주 매입·배당과 투자 확대가 겹친 결과다. 리스부채는 제외했다. 추정 구간은 2025년 수준으로 고정했다(배당·자사주 계획을 모델에 넣지 않았다).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KT&amp;G 투자심사 모델</t>
        </is>
      </c>
    </row>
    <row r="2">
      <c r="A2" s="2" t="inlineStr">
        <is>
          <t>단위 억원 · 실적 4개년 + 추정 5개년</t>
        </is>
      </c>
    </row>
    <row r="3">
      <c r="D3" s="6" t="inlineStr">
        <is>
          <t>실적</t>
        </is>
      </c>
      <c r="E3" s="6" t="inlineStr">
        <is>
          <t>실적</t>
        </is>
      </c>
      <c r="F3" s="6" t="inlineStr">
        <is>
          <t>실적</t>
        </is>
      </c>
      <c r="G3" s="6" t="inlineStr">
        <is>
          <t>실적</t>
        </is>
      </c>
      <c r="H3" s="7" t="inlineStr">
        <is>
          <t>추정</t>
        </is>
      </c>
      <c r="I3" s="7" t="inlineStr">
        <is>
          <t>추정</t>
        </is>
      </c>
      <c r="J3" s="7" t="inlineStr">
        <is>
          <t>추정</t>
        </is>
      </c>
      <c r="K3" s="7" t="inlineStr">
        <is>
          <t>추정</t>
        </is>
      </c>
      <c r="L3" s="7" t="inlineStr">
        <is>
          <t>추정</t>
        </is>
      </c>
    </row>
    <row r="4">
      <c r="A4" s="3" t="inlineStr">
        <is>
          <t>계정</t>
        </is>
      </c>
      <c r="B4" s="3" t="inlineStr">
        <is>
          <t>노드 id</t>
        </is>
      </c>
      <c r="C4" s="3" t="inlineStr">
        <is>
          <t>단위</t>
        </is>
      </c>
      <c r="D4" s="8" t="inlineStr">
        <is>
          <t>2022A</t>
        </is>
      </c>
      <c r="E4" s="8" t="inlineStr">
        <is>
          <t>2023A</t>
        </is>
      </c>
      <c r="F4" s="8" t="inlineStr">
        <is>
          <t>2024A</t>
        </is>
      </c>
      <c r="G4" s="8" t="inlineStr">
        <is>
          <t>2025A</t>
        </is>
      </c>
      <c r="H4" s="8" t="inlineStr">
        <is>
          <t>2026E</t>
        </is>
      </c>
      <c r="I4" s="8" t="inlineStr">
        <is>
          <t>2027E</t>
        </is>
      </c>
      <c r="J4" s="8" t="inlineStr">
        <is>
          <t>2028E</t>
        </is>
      </c>
      <c r="K4" s="8" t="inlineStr">
        <is>
          <t>2029E</t>
        </is>
      </c>
      <c r="L4" s="8" t="inlineStr">
        <is>
          <t>2030E</t>
        </is>
      </c>
    </row>
    <row r="5">
      <c r="A5" s="4" t="inlineStr">
        <is>
          <t>적정 시가총액</t>
        </is>
      </c>
      <c r="B5" s="2" t="inlineStr">
        <is>
          <t>root</t>
        </is>
      </c>
      <c r="C5" s="2" t="inlineStr">
        <is>
          <t>억원</t>
        </is>
      </c>
      <c r="D5" s="14">
        <f>(D6-D52)</f>
        <v/>
      </c>
      <c r="E5" s="14">
        <f>(E6-E52)</f>
        <v/>
      </c>
      <c r="F5" s="14">
        <f>(F6-F52)</f>
        <v/>
      </c>
      <c r="G5" s="14">
        <f>(G6-G52)</f>
        <v/>
      </c>
      <c r="H5" s="14">
        <f>(H6-H52)</f>
        <v/>
      </c>
      <c r="I5" s="14">
        <f>(I6-I52)</f>
        <v/>
      </c>
      <c r="J5" s="14">
        <f>(J6-J52)</f>
        <v/>
      </c>
      <c r="K5" s="14">
        <f>(K6-K52)</f>
        <v/>
      </c>
      <c r="L5" s="14">
        <f>(L6-L52)</f>
        <v/>
      </c>
    </row>
    <row r="6">
      <c r="A6" s="15" t="inlineStr">
        <is>
          <t>기업가치 (EV)</t>
        </is>
      </c>
      <c r="B6" s="2" t="inlineStr">
        <is>
          <t>ev</t>
        </is>
      </c>
      <c r="C6" s="2" t="inlineStr">
        <is>
          <t>억원</t>
        </is>
      </c>
      <c r="D6" s="16">
        <f>(D7+D50)</f>
        <v/>
      </c>
      <c r="E6" s="16">
        <f>(E7+E50)</f>
        <v/>
      </c>
      <c r="F6" s="16">
        <f>(F7+F50)</f>
        <v/>
      </c>
      <c r="G6" s="16">
        <f>(G7+G50)</f>
        <v/>
      </c>
      <c r="H6" s="17">
        <f>(H7+H50)</f>
        <v/>
      </c>
      <c r="I6" s="17">
        <f>(I7+I50)</f>
        <v/>
      </c>
      <c r="J6" s="17">
        <f>(J7+J50)</f>
        <v/>
      </c>
      <c r="K6" s="17">
        <f>(K7+K50)</f>
        <v/>
      </c>
      <c r="L6" s="17">
        <f>(L7+L50)</f>
        <v/>
      </c>
    </row>
    <row r="7">
      <c r="A7" s="18" t="inlineStr">
        <is>
          <t>추정기간 PV 누적</t>
        </is>
      </c>
      <c r="B7" s="2" t="inlineStr">
        <is>
          <t>cum_pv</t>
        </is>
      </c>
      <c r="C7" s="2" t="inlineStr">
        <is>
          <t>억원</t>
        </is>
      </c>
      <c r="D7" s="16">
        <f>(0+(D8*(1-D48)))</f>
        <v/>
      </c>
      <c r="E7" s="16">
        <f>(D7+(E8*(1-E48)))</f>
        <v/>
      </c>
      <c r="F7" s="16">
        <f>(E7+(F8*(1-F48)))</f>
        <v/>
      </c>
      <c r="G7" s="16">
        <f>(F7+(G8*(1-G48)))</f>
        <v/>
      </c>
      <c r="H7" s="17">
        <f>(G7+(H8*(1-H48)))</f>
        <v/>
      </c>
      <c r="I7" s="17">
        <f>(H7+(I8*(1-I48)))</f>
        <v/>
      </c>
      <c r="J7" s="17">
        <f>(I7+(J8*(1-J48)))</f>
        <v/>
      </c>
      <c r="K7" s="17">
        <f>(J7+(K8*(1-K48)))</f>
        <v/>
      </c>
      <c r="L7" s="17">
        <f>(K7+(L8*(1-L48)))</f>
        <v/>
      </c>
    </row>
    <row r="8">
      <c r="A8" s="19" t="inlineStr">
        <is>
          <t>FCF 현재가치</t>
        </is>
      </c>
      <c r="B8" s="2" t="inlineStr">
        <is>
          <t>pv_fcf</t>
        </is>
      </c>
      <c r="C8" s="2" t="inlineStr">
        <is>
          <t>억원</t>
        </is>
      </c>
      <c r="D8" s="16">
        <f>(D9*D47)</f>
        <v/>
      </c>
      <c r="E8" s="16">
        <f>(E9*E47)</f>
        <v/>
      </c>
      <c r="F8" s="16">
        <f>(F9*F47)</f>
        <v/>
      </c>
      <c r="G8" s="16">
        <f>(G9*G47)</f>
        <v/>
      </c>
      <c r="H8" s="17">
        <f>(H9*H47)</f>
        <v/>
      </c>
      <c r="I8" s="17">
        <f>(I9*I47)</f>
        <v/>
      </c>
      <c r="J8" s="17">
        <f>(J9*J47)</f>
        <v/>
      </c>
      <c r="K8" s="17">
        <f>(K9*K47)</f>
        <v/>
      </c>
      <c r="L8" s="17">
        <f>(L9*L47)</f>
        <v/>
      </c>
    </row>
    <row r="9">
      <c r="A9" s="20" t="inlineStr">
        <is>
          <t>잉여현금흐름 (FCF)</t>
        </is>
      </c>
      <c r="B9" s="2" t="inlineStr">
        <is>
          <t>fcf</t>
        </is>
      </c>
      <c r="C9" s="2" t="inlineStr">
        <is>
          <t>억원</t>
        </is>
      </c>
      <c r="D9" s="16">
        <f>((D10+D25)-D44)</f>
        <v/>
      </c>
      <c r="E9" s="16">
        <f>((E10+E25)-E44)</f>
        <v/>
      </c>
      <c r="F9" s="16">
        <f>((F10+F25)-F44)</f>
        <v/>
      </c>
      <c r="G9" s="16">
        <f>((G10+G25)-G44)</f>
        <v/>
      </c>
      <c r="H9" s="17">
        <f>((H10+H25)-H44)</f>
        <v/>
      </c>
      <c r="I9" s="17">
        <f>((I10+I25)-I44)</f>
        <v/>
      </c>
      <c r="J9" s="17">
        <f>((J10+J25)-J44)</f>
        <v/>
      </c>
      <c r="K9" s="17">
        <f>((K10+K25)-K44)</f>
        <v/>
      </c>
      <c r="L9" s="17">
        <f>((L10+L25)-L44)</f>
        <v/>
      </c>
    </row>
    <row r="10">
      <c r="A10" s="21" t="inlineStr">
        <is>
          <t>세후영업이익 (NOPAT)</t>
        </is>
      </c>
      <c r="B10" s="2" t="inlineStr">
        <is>
          <t>nopat</t>
        </is>
      </c>
      <c r="C10" s="2" t="inlineStr">
        <is>
          <t>억원</t>
        </is>
      </c>
      <c r="D10" s="16">
        <f>(D12*(1-D11))</f>
        <v/>
      </c>
      <c r="E10" s="16">
        <f>(E12*(1-E11))</f>
        <v/>
      </c>
      <c r="F10" s="16">
        <f>(F12*(1-F11))</f>
        <v/>
      </c>
      <c r="G10" s="16">
        <f>(G12*(1-G11))</f>
        <v/>
      </c>
      <c r="H10" s="17">
        <f>(H12*(1-H11))</f>
        <v/>
      </c>
      <c r="I10" s="17">
        <f>(I12*(1-I11))</f>
        <v/>
      </c>
      <c r="J10" s="17">
        <f>(J12*(1-J11))</f>
        <v/>
      </c>
      <c r="K10" s="17">
        <f>(K12*(1-K11))</f>
        <v/>
      </c>
      <c r="L10" s="17">
        <f>(L12*(1-L11))</f>
        <v/>
      </c>
    </row>
    <row r="11">
      <c r="A11" s="22" t="inlineStr">
        <is>
          <t>법인세율</t>
        </is>
      </c>
      <c r="B11" s="2" t="inlineStr">
        <is>
          <t>tax_rate</t>
        </is>
      </c>
      <c r="C11" s="2" t="inlineStr">
        <is>
          <t>%</t>
        </is>
      </c>
      <c r="D11" s="23" t="n">
        <v>0.24</v>
      </c>
      <c r="E11" s="23" t="n">
        <v>0.24</v>
      </c>
      <c r="F11" s="23" t="n">
        <v>0.24</v>
      </c>
      <c r="G11" s="23" t="n">
        <v>0.24</v>
      </c>
      <c r="H11" s="24" t="n">
        <v>0.24</v>
      </c>
      <c r="I11" s="24" t="n">
        <v>0.24</v>
      </c>
      <c r="J11" s="24" t="n">
        <v>0.24</v>
      </c>
      <c r="K11" s="24" t="n">
        <v>0.24</v>
      </c>
      <c r="L11" s="24" t="n">
        <v>0.24</v>
      </c>
    </row>
    <row r="12">
      <c r="A12" s="22" t="inlineStr">
        <is>
          <t>영업이익</t>
        </is>
      </c>
      <c r="B12" s="2" t="inlineStr">
        <is>
          <t>op_profit</t>
        </is>
      </c>
      <c r="C12" s="2" t="inlineStr">
        <is>
          <t>억원</t>
        </is>
      </c>
      <c r="D12" s="16">
        <f>(D31-D24)</f>
        <v/>
      </c>
      <c r="E12" s="16">
        <f>(E31-E24)</f>
        <v/>
      </c>
      <c r="F12" s="16">
        <f>(F31-F24)</f>
        <v/>
      </c>
      <c r="G12" s="16">
        <f>(G31-G24)</f>
        <v/>
      </c>
      <c r="H12" s="17">
        <f>(H31-H24)</f>
        <v/>
      </c>
      <c r="I12" s="17">
        <f>(I31-I24)</f>
        <v/>
      </c>
      <c r="J12" s="17">
        <f>(J31-J24)</f>
        <v/>
      </c>
      <c r="K12" s="17">
        <f>(K31-K24)</f>
        <v/>
      </c>
      <c r="L12" s="17">
        <f>(L31-L24)</f>
        <v/>
      </c>
    </row>
    <row r="13">
      <c r="A13" s="25" t="inlineStr">
        <is>
          <t>EBITDA (참고)</t>
        </is>
      </c>
      <c r="B13" s="2" t="inlineStr">
        <is>
          <t>ebitda</t>
        </is>
      </c>
      <c r="C13" s="2" t="inlineStr">
        <is>
          <t>억원</t>
        </is>
      </c>
      <c r="D13" s="16">
        <f>(D12+D25)</f>
        <v/>
      </c>
      <c r="E13" s="16">
        <f>(E12+E25)</f>
        <v/>
      </c>
      <c r="F13" s="16">
        <f>(F12+F25)</f>
        <v/>
      </c>
      <c r="G13" s="16">
        <f>(G12+G25)</f>
        <v/>
      </c>
      <c r="H13" s="17">
        <f>(H12+H25)</f>
        <v/>
      </c>
      <c r="I13" s="17">
        <f>(I12+I25)</f>
        <v/>
      </c>
      <c r="J13" s="17">
        <f>(J12+J25)</f>
        <v/>
      </c>
      <c r="K13" s="17">
        <f>(K12+K25)</f>
        <v/>
      </c>
      <c r="L13" s="17">
        <f>(L12+L25)</f>
        <v/>
      </c>
    </row>
    <row r="14">
      <c r="A14" s="25" t="inlineStr">
        <is>
          <t>지배주주 순이익 (참고)</t>
        </is>
      </c>
      <c r="B14" s="2" t="inlineStr">
        <is>
          <t>net_income</t>
        </is>
      </c>
      <c r="C14" s="2" t="inlineStr">
        <is>
          <t>억원</t>
        </is>
      </c>
      <c r="D14" s="16">
        <f>IF((D15&gt;0),D16,(((D12+D17)*(1-D11))*D18))</f>
        <v/>
      </c>
      <c r="E14" s="16">
        <f>IF((E15&gt;0),E16,(((E12+E17)*(1-E11))*E18))</f>
        <v/>
      </c>
      <c r="F14" s="16">
        <f>IF((F15&gt;0),F16,(((F12+F17)*(1-F11))*F18))</f>
        <v/>
      </c>
      <c r="G14" s="16">
        <f>IF((G15&gt;0),G16,(((G12+G17)*(1-G11))*G18))</f>
        <v/>
      </c>
      <c r="H14" s="17">
        <f>IF((H15&gt;0),H16,(((H12+H17)*(1-H11))*H18))</f>
        <v/>
      </c>
      <c r="I14" s="17">
        <f>IF((I15&gt;0),I16,(((I12+I17)*(1-I11))*I18))</f>
        <v/>
      </c>
      <c r="J14" s="17">
        <f>IF((J15&gt;0),J16,(((J12+J17)*(1-J11))*J18))</f>
        <v/>
      </c>
      <c r="K14" s="17">
        <f>IF((K15&gt;0),K16,(((K12+K17)*(1-K11))*K18))</f>
        <v/>
      </c>
      <c r="L14" s="17">
        <f>IF((L15&gt;0),L16,(((L12+L17)*(1-L11))*L18))</f>
        <v/>
      </c>
    </row>
    <row r="15">
      <c r="A15" s="26" t="inlineStr">
        <is>
          <t>순이익 실적 마스크</t>
        </is>
      </c>
      <c r="B15" s="2" t="inlineStr">
        <is>
          <t>ni_hist</t>
        </is>
      </c>
      <c r="C15" s="2" t="inlineStr"/>
      <c r="D15" s="27" t="n">
        <v>1</v>
      </c>
      <c r="E15" s="27" t="n">
        <v>1</v>
      </c>
      <c r="F15" s="27" t="n">
        <v>1</v>
      </c>
      <c r="G15" s="27" t="n">
        <v>1</v>
      </c>
      <c r="H15" s="28" t="n">
        <v>0</v>
      </c>
      <c r="I15" s="28" t="n">
        <v>0</v>
      </c>
      <c r="J15" s="28" t="n">
        <v>0</v>
      </c>
      <c r="K15" s="28" t="n">
        <v>0</v>
      </c>
      <c r="L15" s="28" t="n">
        <v>0</v>
      </c>
    </row>
    <row r="16">
      <c r="A16" s="26" t="inlineStr">
        <is>
          <t>순이익 실적</t>
        </is>
      </c>
      <c r="B16" s="2" t="inlineStr">
        <is>
          <t>ni_actual</t>
        </is>
      </c>
      <c r="C16" s="2" t="inlineStr">
        <is>
          <t>억원</t>
        </is>
      </c>
      <c r="D16" s="27" t="n">
        <v>10157.85</v>
      </c>
      <c r="E16" s="27" t="n">
        <v>9026.620000000001</v>
      </c>
      <c r="F16" s="27" t="n">
        <v>11657.27</v>
      </c>
      <c r="G16" s="27" t="n">
        <v>10900.72</v>
      </c>
      <c r="H16" s="28" t="n">
        <v>0</v>
      </c>
      <c r="I16" s="28" t="n">
        <v>0</v>
      </c>
      <c r="J16" s="28" t="n">
        <v>0</v>
      </c>
      <c r="K16" s="28" t="n">
        <v>0</v>
      </c>
      <c r="L16" s="28" t="n">
        <v>0</v>
      </c>
    </row>
    <row r="17">
      <c r="A17" s="26" t="inlineStr">
        <is>
          <t>영업외손익</t>
        </is>
      </c>
      <c r="B17" s="2" t="inlineStr">
        <is>
          <t>nonop</t>
        </is>
      </c>
      <c r="C17" s="2" t="inlineStr">
        <is>
          <t>억원</t>
        </is>
      </c>
      <c r="D17" s="27" t="n">
        <v>1618.19</v>
      </c>
      <c r="E17" s="27" t="n">
        <v>810.8200000000001</v>
      </c>
      <c r="F17" s="27" t="n">
        <v>3770.25</v>
      </c>
      <c r="G17" s="27" t="n">
        <v>1115.91</v>
      </c>
      <c r="H17" s="28" t="n">
        <v>1200</v>
      </c>
      <c r="I17" s="28" t="n">
        <v>1200</v>
      </c>
      <c r="J17" s="28" t="n">
        <v>1200</v>
      </c>
      <c r="K17" s="28" t="n">
        <v>1200</v>
      </c>
      <c r="L17" s="28" t="n">
        <v>1200</v>
      </c>
    </row>
    <row r="18">
      <c r="A18" s="26" t="inlineStr">
        <is>
          <t>지배지분 비율</t>
        </is>
      </c>
      <c r="B18" s="2" t="inlineStr">
        <is>
          <t>ctrl_ratio</t>
        </is>
      </c>
      <c r="C18" s="2" t="inlineStr">
        <is>
          <t>%</t>
        </is>
      </c>
      <c r="D18" s="23" t="n">
        <v>0</v>
      </c>
      <c r="E18" s="23" t="n">
        <v>0</v>
      </c>
      <c r="F18" s="23" t="n">
        <v>0</v>
      </c>
      <c r="G18" s="23" t="n">
        <v>0</v>
      </c>
      <c r="H18" s="24" t="n">
        <v>0.99</v>
      </c>
      <c r="I18" s="24" t="n">
        <v>0.99</v>
      </c>
      <c r="J18" s="24" t="n">
        <v>0.99</v>
      </c>
      <c r="K18" s="24" t="n">
        <v>0.99</v>
      </c>
      <c r="L18" s="24" t="n">
        <v>0.99</v>
      </c>
    </row>
    <row r="19">
      <c r="A19" s="26" t="inlineStr">
        <is>
          <t>EPS (참고)</t>
        </is>
      </c>
      <c r="B19" s="2" t="inlineStr">
        <is>
          <t>eps</t>
        </is>
      </c>
      <c r="C19" s="2" t="inlineStr">
        <is>
          <t>원</t>
        </is>
      </c>
      <c r="D19" s="16">
        <f>((D14/D20)*100)</f>
        <v/>
      </c>
      <c r="E19" s="16">
        <f>((E14/E20)*100)</f>
        <v/>
      </c>
      <c r="F19" s="16">
        <f>((F14/F20)*100)</f>
        <v/>
      </c>
      <c r="G19" s="16">
        <f>((G14/G20)*100)</f>
        <v/>
      </c>
      <c r="H19" s="17">
        <f>((H14/H20)*100)</f>
        <v/>
      </c>
      <c r="I19" s="17">
        <f>((I14/I20)*100)</f>
        <v/>
      </c>
      <c r="J19" s="17">
        <f>((J14/J20)*100)</f>
        <v/>
      </c>
      <c r="K19" s="17">
        <f>((K14/K20)*100)</f>
        <v/>
      </c>
      <c r="L19" s="17">
        <f>((L14/L20)*100)</f>
        <v/>
      </c>
    </row>
    <row r="20">
      <c r="A20" s="26" t="inlineStr">
        <is>
          <t>상장주식수</t>
        </is>
      </c>
      <c r="B20" s="2" t="inlineStr">
        <is>
          <t>shares</t>
        </is>
      </c>
      <c r="C20" s="2" t="inlineStr">
        <is>
          <t>백만주</t>
        </is>
      </c>
      <c r="D20" s="27" t="n">
        <v>103.810456</v>
      </c>
      <c r="E20" s="27" t="n">
        <v>103.810456</v>
      </c>
      <c r="F20" s="27" t="n">
        <v>103.810456</v>
      </c>
      <c r="G20" s="27" t="n">
        <v>103.810456</v>
      </c>
      <c r="H20" s="28" t="n">
        <v>103.810456</v>
      </c>
      <c r="I20" s="28" t="n">
        <v>103.810456</v>
      </c>
      <c r="J20" s="28" t="n">
        <v>103.810456</v>
      </c>
      <c r="K20" s="28" t="n">
        <v>103.810456</v>
      </c>
      <c r="L20" s="28" t="n">
        <v>103.810456</v>
      </c>
    </row>
    <row r="21">
      <c r="A21" s="26" t="inlineStr">
        <is>
          <t>DPS (참고)</t>
        </is>
      </c>
      <c r="B21" s="2" t="inlineStr">
        <is>
          <t>dps</t>
        </is>
      </c>
      <c r="C21" s="2" t="inlineStr">
        <is>
          <t>원</t>
        </is>
      </c>
      <c r="D21" s="16">
        <f>IF((D15&gt;0),D22,(D19*D23))</f>
        <v/>
      </c>
      <c r="E21" s="16">
        <f>IF((E15&gt;0),E22,(E19*E23))</f>
        <v/>
      </c>
      <c r="F21" s="16">
        <f>IF((F15&gt;0),F22,(F19*F23))</f>
        <v/>
      </c>
      <c r="G21" s="16">
        <f>IF((G15&gt;0),G22,(G19*G23))</f>
        <v/>
      </c>
      <c r="H21" s="17">
        <f>IF((H15&gt;0),H22,(H19*H23))</f>
        <v/>
      </c>
      <c r="I21" s="17">
        <f>IF((I15&gt;0),I22,(I19*I23))</f>
        <v/>
      </c>
      <c r="J21" s="17">
        <f>IF((J15&gt;0),J22,(J19*J23))</f>
        <v/>
      </c>
      <c r="K21" s="17">
        <f>IF((K15&gt;0),K22,(K19*K23))</f>
        <v/>
      </c>
      <c r="L21" s="17">
        <f>IF((L15&gt;0),L22,(L19*L23))</f>
        <v/>
      </c>
    </row>
    <row r="22">
      <c r="A22" s="26" t="inlineStr">
        <is>
          <t>DPS 실적</t>
        </is>
      </c>
      <c r="B22" s="2" t="inlineStr">
        <is>
          <t>dps_a</t>
        </is>
      </c>
      <c r="C22" s="2" t="inlineStr">
        <is>
          <t>원</t>
        </is>
      </c>
      <c r="D22" s="27" t="n">
        <v>5000</v>
      </c>
      <c r="E22" s="27" t="n">
        <v>5200</v>
      </c>
      <c r="F22" s="27" t="n">
        <v>5400</v>
      </c>
      <c r="G22" s="27" t="n">
        <v>6000</v>
      </c>
      <c r="H22" s="28" t="n">
        <v>0</v>
      </c>
      <c r="I22" s="28" t="n">
        <v>0</v>
      </c>
      <c r="J22" s="28" t="n">
        <v>0</v>
      </c>
      <c r="K22" s="28" t="n">
        <v>0</v>
      </c>
      <c r="L22" s="28" t="n">
        <v>0</v>
      </c>
    </row>
    <row r="23">
      <c r="A23" s="26" t="inlineStr">
        <is>
          <t>배당성향</t>
        </is>
      </c>
      <c r="B23" s="2" t="inlineStr">
        <is>
          <t>payout</t>
        </is>
      </c>
      <c r="C23" s="2" t="inlineStr">
        <is>
          <t>%</t>
        </is>
      </c>
      <c r="D23" s="23" t="n">
        <v>0</v>
      </c>
      <c r="E23" s="23" t="n">
        <v>0</v>
      </c>
      <c r="F23" s="23" t="n">
        <v>0</v>
      </c>
      <c r="G23" s="23" t="n">
        <v>0</v>
      </c>
      <c r="H23" s="24" t="n">
        <v>0.57</v>
      </c>
      <c r="I23" s="24" t="n">
        <v>0.57</v>
      </c>
      <c r="J23" s="24" t="n">
        <v>0.57</v>
      </c>
      <c r="K23" s="24" t="n">
        <v>0.57</v>
      </c>
      <c r="L23" s="24" t="n">
        <v>0.57</v>
      </c>
    </row>
    <row r="24">
      <c r="A24" s="25" t="inlineStr">
        <is>
          <t>총비용</t>
        </is>
      </c>
      <c r="B24" s="2" t="inlineStr">
        <is>
          <t>total_cost</t>
        </is>
      </c>
      <c r="C24" s="2" t="inlineStr">
        <is>
          <t>억원</t>
        </is>
      </c>
      <c r="D24" s="16">
        <f>(D25+D28)</f>
        <v/>
      </c>
      <c r="E24" s="16">
        <f>(E25+E28)</f>
        <v/>
      </c>
      <c r="F24" s="16">
        <f>(F25+F28)</f>
        <v/>
      </c>
      <c r="G24" s="16">
        <f>(G25+G28)</f>
        <v/>
      </c>
      <c r="H24" s="17">
        <f>(H25+H28)</f>
        <v/>
      </c>
      <c r="I24" s="17">
        <f>(I25+I28)</f>
        <v/>
      </c>
      <c r="J24" s="17">
        <f>(J25+J28)</f>
        <v/>
      </c>
      <c r="K24" s="17">
        <f>(K25+K28)</f>
        <v/>
      </c>
      <c r="L24" s="17">
        <f>(L25+L28)</f>
        <v/>
      </c>
    </row>
    <row r="25">
      <c r="A25" s="26" t="inlineStr">
        <is>
          <t>감가상각비</t>
        </is>
      </c>
      <c r="B25" s="2" t="inlineStr">
        <is>
          <t>dep_total</t>
        </is>
      </c>
      <c r="C25" s="2" t="inlineStr">
        <is>
          <t>억원</t>
        </is>
      </c>
      <c r="D25" s="16">
        <f>IF((D26&gt;0),D26,(0*(1+D27)))</f>
        <v/>
      </c>
      <c r="E25" s="16">
        <f>IF((E26&gt;0),E26,(D25*(1+E27)))</f>
        <v/>
      </c>
      <c r="F25" s="16">
        <f>IF((F26&gt;0),F26,(E25*(1+F27)))</f>
        <v/>
      </c>
      <c r="G25" s="16">
        <f>IF((G26&gt;0),G26,(F25*(1+G27)))</f>
        <v/>
      </c>
      <c r="H25" s="17">
        <f>IF((H26&gt;0),H26,(G25*(1+H27)))</f>
        <v/>
      </c>
      <c r="I25" s="17">
        <f>IF((I26&gt;0),I26,(H25*(1+I27)))</f>
        <v/>
      </c>
      <c r="J25" s="17">
        <f>IF((J26&gt;0),J26,(I25*(1+J27)))</f>
        <v/>
      </c>
      <c r="K25" s="17">
        <f>IF((K26&gt;0),K26,(J25*(1+K27)))</f>
        <v/>
      </c>
      <c r="L25" s="17">
        <f>IF((L26&gt;0),L26,(K25*(1+L27)))</f>
        <v/>
      </c>
    </row>
    <row r="26">
      <c r="A26" s="26" t="inlineStr">
        <is>
          <t>감가상각비 실적</t>
        </is>
      </c>
      <c r="B26" s="2" t="inlineStr">
        <is>
          <t>dep_actual</t>
        </is>
      </c>
      <c r="C26" s="2" t="inlineStr">
        <is>
          <t>억원</t>
        </is>
      </c>
      <c r="D26" s="27" t="n">
        <v>2341</v>
      </c>
      <c r="E26" s="27" t="n">
        <v>2515</v>
      </c>
      <c r="F26" s="27" t="n">
        <v>2626</v>
      </c>
      <c r="G26" s="27" t="n">
        <v>3043</v>
      </c>
      <c r="H26" s="28" t="n">
        <v>0</v>
      </c>
      <c r="I26" s="28" t="n">
        <v>0</v>
      </c>
      <c r="J26" s="28" t="n">
        <v>0</v>
      </c>
      <c r="K26" s="28" t="n">
        <v>0</v>
      </c>
      <c r="L26" s="28" t="n">
        <v>0</v>
      </c>
    </row>
    <row r="27">
      <c r="A27" s="26" t="inlineStr">
        <is>
          <t>감가상각 증가율</t>
        </is>
      </c>
      <c r="B27" s="2" t="inlineStr">
        <is>
          <t>dep_g</t>
        </is>
      </c>
      <c r="C27" s="2" t="inlineStr">
        <is>
          <t>%</t>
        </is>
      </c>
      <c r="D27" s="23" t="n">
        <v>0</v>
      </c>
      <c r="E27" s="23" t="n">
        <v>0</v>
      </c>
      <c r="F27" s="23" t="n">
        <v>0</v>
      </c>
      <c r="G27" s="23" t="n">
        <v>0</v>
      </c>
      <c r="H27" s="24" t="n">
        <v>0.09</v>
      </c>
      <c r="I27" s="24" t="n">
        <v>0.07000000000000001</v>
      </c>
      <c r="J27" s="24" t="n">
        <v>0.05</v>
      </c>
      <c r="K27" s="24" t="n">
        <v>0.04</v>
      </c>
      <c r="L27" s="24" t="n">
        <v>0.03</v>
      </c>
    </row>
    <row r="28">
      <c r="A28" s="26" t="inlineStr">
        <is>
          <t>기타비용</t>
        </is>
      </c>
      <c r="B28" s="2" t="inlineStr">
        <is>
          <t>other_cost</t>
        </is>
      </c>
      <c r="C28" s="2" t="inlineStr">
        <is>
          <t>억원</t>
        </is>
      </c>
      <c r="D28" s="16">
        <f>IF((D29&gt;0),D29,(D31*D30))</f>
        <v/>
      </c>
      <c r="E28" s="16">
        <f>IF((E29&gt;0),E29,(E31*E30))</f>
        <v/>
      </c>
      <c r="F28" s="16">
        <f>IF((F29&gt;0),F29,(F31*F30))</f>
        <v/>
      </c>
      <c r="G28" s="16">
        <f>IF((G29&gt;0),G29,(G31*G30))</f>
        <v/>
      </c>
      <c r="H28" s="17">
        <f>IF((H29&gt;0),H29,(H31*H30))</f>
        <v/>
      </c>
      <c r="I28" s="17">
        <f>IF((I29&gt;0),I29,(I31*I30))</f>
        <v/>
      </c>
      <c r="J28" s="17">
        <f>IF((J29&gt;0),J29,(J31*J30))</f>
        <v/>
      </c>
      <c r="K28" s="17">
        <f>IF((K29&gt;0),K29,(K31*K30))</f>
        <v/>
      </c>
      <c r="L28" s="17">
        <f>IF((L29&gt;0),L29,(L31*L30))</f>
        <v/>
      </c>
    </row>
    <row r="29">
      <c r="A29" s="26" t="inlineStr">
        <is>
          <t>기타비용 실적</t>
        </is>
      </c>
      <c r="B29" s="2" t="inlineStr">
        <is>
          <t>other_actual</t>
        </is>
      </c>
      <c r="C29" s="2" t="inlineStr">
        <is>
          <t>억원</t>
        </is>
      </c>
      <c r="D29" s="27" t="n">
        <v>43496</v>
      </c>
      <c r="E29" s="27" t="n">
        <v>44438</v>
      </c>
      <c r="F29" s="27" t="n">
        <v>44574</v>
      </c>
      <c r="G29" s="27" t="n">
        <v>49317</v>
      </c>
      <c r="H29" s="28" t="n">
        <v>0</v>
      </c>
      <c r="I29" s="28" t="n">
        <v>0</v>
      </c>
      <c r="J29" s="28" t="n">
        <v>0</v>
      </c>
      <c r="K29" s="28" t="n">
        <v>0</v>
      </c>
      <c r="L29" s="28" t="n">
        <v>0</v>
      </c>
    </row>
    <row r="30">
      <c r="A30" s="26" t="inlineStr">
        <is>
          <t>기타비용률</t>
        </is>
      </c>
      <c r="B30" s="2" t="inlineStr">
        <is>
          <t>other_ratio</t>
        </is>
      </c>
      <c r="C30" s="2" t="inlineStr">
        <is>
          <t>%</t>
        </is>
      </c>
      <c r="D30" s="23" t="n">
        <v>0</v>
      </c>
      <c r="E30" s="23" t="n">
        <v>0</v>
      </c>
      <c r="F30" s="23" t="n">
        <v>0</v>
      </c>
      <c r="G30" s="23" t="n">
        <v>0</v>
      </c>
      <c r="H30" s="24" t="n">
        <v>0.75</v>
      </c>
      <c r="I30" s="24" t="n">
        <v>0.749</v>
      </c>
      <c r="J30" s="24" t="n">
        <v>0.748</v>
      </c>
      <c r="K30" s="24" t="n">
        <v>0.747</v>
      </c>
      <c r="L30" s="24" t="n">
        <v>0.746</v>
      </c>
    </row>
    <row r="31">
      <c r="A31" s="25" t="inlineStr">
        <is>
          <t>총매출</t>
        </is>
      </c>
      <c r="B31" s="2" t="inlineStr">
        <is>
          <t>total_revenue</t>
        </is>
      </c>
      <c r="C31" s="2" t="inlineStr">
        <is>
          <t>억원</t>
        </is>
      </c>
      <c r="D31" s="16">
        <f>(((D32+D35)+D38)+D41)</f>
        <v/>
      </c>
      <c r="E31" s="16">
        <f>(((E32+E35)+E38)+E41)</f>
        <v/>
      </c>
      <c r="F31" s="16">
        <f>(((F32+F35)+F38)+F41)</f>
        <v/>
      </c>
      <c r="G31" s="16">
        <f>(((G32+G35)+G38)+G41)</f>
        <v/>
      </c>
      <c r="H31" s="17">
        <f>(((H32+H35)+H38)+H41)</f>
        <v/>
      </c>
      <c r="I31" s="17">
        <f>(((I32+I35)+I38)+I41)</f>
        <v/>
      </c>
      <c r="J31" s="17">
        <f>(((J32+J35)+J38)+J41)</f>
        <v/>
      </c>
      <c r="K31" s="17">
        <f>(((K32+K35)+K38)+K41)</f>
        <v/>
      </c>
      <c r="L31" s="17">
        <f>(((L32+L35)+L38)+L41)</f>
        <v/>
      </c>
    </row>
    <row r="32">
      <c r="A32" s="26" t="inlineStr">
        <is>
          <t>담배</t>
        </is>
      </c>
      <c r="B32" s="2" t="inlineStr">
        <is>
          <t>tobacco</t>
        </is>
      </c>
      <c r="C32" s="2" t="inlineStr">
        <is>
          <t>억원</t>
        </is>
      </c>
      <c r="D32" s="16">
        <f>IF((D33&gt;0),D33,(0*(1+D34)))</f>
        <v/>
      </c>
      <c r="E32" s="16">
        <f>IF((E33&gt;0),E33,(D32*(1+E34)))</f>
        <v/>
      </c>
      <c r="F32" s="16">
        <f>IF((F33&gt;0),F33,(E32*(1+F34)))</f>
        <v/>
      </c>
      <c r="G32" s="16">
        <f>IF((G33&gt;0),G33,(F32*(1+G34)))</f>
        <v/>
      </c>
      <c r="H32" s="17">
        <f>IF((H33&gt;0),H33,(G32*(1+H34)))</f>
        <v/>
      </c>
      <c r="I32" s="17">
        <f>IF((I33&gt;0),I33,(H32*(1+I34)))</f>
        <v/>
      </c>
      <c r="J32" s="17">
        <f>IF((J33&gt;0),J33,(I32*(1+J34)))</f>
        <v/>
      </c>
      <c r="K32" s="17">
        <f>IF((K33&gt;0),K33,(J32*(1+K34)))</f>
        <v/>
      </c>
      <c r="L32" s="17">
        <f>IF((L33&gt;0),L33,(K32*(1+L34)))</f>
        <v/>
      </c>
    </row>
    <row r="33">
      <c r="A33" s="26" t="inlineStr">
        <is>
          <t>담배 실적</t>
        </is>
      </c>
      <c r="B33" s="2" t="inlineStr">
        <is>
          <t>tob_actual</t>
        </is>
      </c>
      <c r="C33" s="2" t="inlineStr">
        <is>
          <t>억원</t>
        </is>
      </c>
      <c r="D33" s="27" t="n">
        <v>35738</v>
      </c>
      <c r="E33" s="27" t="n">
        <v>36123</v>
      </c>
      <c r="F33" s="27" t="n">
        <v>39056</v>
      </c>
      <c r="G33" s="27" t="n">
        <v>43672</v>
      </c>
      <c r="H33" s="28" t="n">
        <v>0</v>
      </c>
      <c r="I33" s="28" t="n">
        <v>0</v>
      </c>
      <c r="J33" s="28" t="n">
        <v>0</v>
      </c>
      <c r="K33" s="28" t="n">
        <v>0</v>
      </c>
      <c r="L33" s="28" t="n">
        <v>0</v>
      </c>
    </row>
    <row r="34">
      <c r="A34" s="26" t="inlineStr">
        <is>
          <t>담배 성장률</t>
        </is>
      </c>
      <c r="B34" s="2" t="inlineStr">
        <is>
          <t>tob_g</t>
        </is>
      </c>
      <c r="C34" s="2" t="inlineStr">
        <is>
          <t>%</t>
        </is>
      </c>
      <c r="D34" s="23" t="n">
        <v>0</v>
      </c>
      <c r="E34" s="23" t="n">
        <v>0</v>
      </c>
      <c r="F34" s="23" t="n">
        <v>0</v>
      </c>
      <c r="G34" s="23" t="n">
        <v>0</v>
      </c>
      <c r="H34" s="24" t="n">
        <v>0.07000000000000001</v>
      </c>
      <c r="I34" s="24" t="n">
        <v>0.06</v>
      </c>
      <c r="J34" s="24" t="n">
        <v>0.05</v>
      </c>
      <c r="K34" s="24" t="n">
        <v>0.04</v>
      </c>
      <c r="L34" s="24" t="n">
        <v>0.03</v>
      </c>
    </row>
    <row r="35">
      <c r="A35" s="26" t="inlineStr">
        <is>
          <t>인삼 (KGC)</t>
        </is>
      </c>
      <c r="B35" s="2" t="inlineStr">
        <is>
          <t>ginseng</t>
        </is>
      </c>
      <c r="C35" s="2" t="inlineStr">
        <is>
          <t>억원</t>
        </is>
      </c>
      <c r="D35" s="16">
        <f>IF((D36&gt;0),D36,(0*(1+D37)))</f>
        <v/>
      </c>
      <c r="E35" s="16">
        <f>IF((E36&gt;0),E36,(D35*(1+E37)))</f>
        <v/>
      </c>
      <c r="F35" s="16">
        <f>IF((F36&gt;0),F36,(E35*(1+F37)))</f>
        <v/>
      </c>
      <c r="G35" s="16">
        <f>IF((G36&gt;0),G36,(F35*(1+G37)))</f>
        <v/>
      </c>
      <c r="H35" s="17">
        <f>IF((H36&gt;0),H36,(G35*(1+H37)))</f>
        <v/>
      </c>
      <c r="I35" s="17">
        <f>IF((I36&gt;0),I36,(H35*(1+I37)))</f>
        <v/>
      </c>
      <c r="J35" s="17">
        <f>IF((J36&gt;0),J36,(I35*(1+J37)))</f>
        <v/>
      </c>
      <c r="K35" s="17">
        <f>IF((K36&gt;0),K36,(J35*(1+K37)))</f>
        <v/>
      </c>
      <c r="L35" s="17">
        <f>IF((L36&gt;0),L36,(K35*(1+L37)))</f>
        <v/>
      </c>
    </row>
    <row r="36">
      <c r="A36" s="26" t="inlineStr">
        <is>
          <t>인삼 실적</t>
        </is>
      </c>
      <c r="B36" s="2" t="inlineStr">
        <is>
          <t>gin_actual</t>
        </is>
      </c>
      <c r="C36" s="2" t="inlineStr">
        <is>
          <t>억원</t>
        </is>
      </c>
      <c r="D36" s="27" t="n">
        <v>13890</v>
      </c>
      <c r="E36" s="27" t="n">
        <v>13935</v>
      </c>
      <c r="F36" s="27" t="n">
        <v>13016</v>
      </c>
      <c r="G36" s="27" t="n">
        <v>11370</v>
      </c>
      <c r="H36" s="28" t="n">
        <v>0</v>
      </c>
      <c r="I36" s="28" t="n">
        <v>0</v>
      </c>
      <c r="J36" s="28" t="n">
        <v>0</v>
      </c>
      <c r="K36" s="28" t="n">
        <v>0</v>
      </c>
      <c r="L36" s="28" t="n">
        <v>0</v>
      </c>
    </row>
    <row r="37">
      <c r="A37" s="26" t="inlineStr">
        <is>
          <t>인삼 성장률</t>
        </is>
      </c>
      <c r="B37" s="2" t="inlineStr">
        <is>
          <t>gin_g</t>
        </is>
      </c>
      <c r="C37" s="2" t="inlineStr">
        <is>
          <t>%</t>
        </is>
      </c>
      <c r="D37" s="23" t="n">
        <v>0</v>
      </c>
      <c r="E37" s="23" t="n">
        <v>0</v>
      </c>
      <c r="F37" s="23" t="n">
        <v>0</v>
      </c>
      <c r="G37" s="23" t="n">
        <v>0</v>
      </c>
      <c r="H37" s="24" t="n">
        <v>-0.03</v>
      </c>
      <c r="I37" s="24" t="n">
        <v>0</v>
      </c>
      <c r="J37" s="24" t="n">
        <v>0.01</v>
      </c>
      <c r="K37" s="24" t="n">
        <v>0.01</v>
      </c>
      <c r="L37" s="24" t="n">
        <v>0.01</v>
      </c>
    </row>
    <row r="38">
      <c r="A38" s="26" t="inlineStr">
        <is>
          <t>부동산</t>
        </is>
      </c>
      <c r="B38" s="2" t="inlineStr">
        <is>
          <t>estate</t>
        </is>
      </c>
      <c r="C38" s="2" t="inlineStr">
        <is>
          <t>억원</t>
        </is>
      </c>
      <c r="D38" s="16">
        <f>IF((D39&gt;0),D39,(0*(1+D40)))</f>
        <v/>
      </c>
      <c r="E38" s="16">
        <f>IF((E39&gt;0),E39,(D38*(1+E40)))</f>
        <v/>
      </c>
      <c r="F38" s="16">
        <f>IF((F39&gt;0),F39,(E38*(1+F40)))</f>
        <v/>
      </c>
      <c r="G38" s="16">
        <f>IF((G39&gt;0),G39,(F38*(1+G40)))</f>
        <v/>
      </c>
      <c r="H38" s="17">
        <f>IF((H39&gt;0),H39,(G38*(1+H40)))</f>
        <v/>
      </c>
      <c r="I38" s="17">
        <f>IF((I39&gt;0),I39,(H38*(1+I40)))</f>
        <v/>
      </c>
      <c r="J38" s="17">
        <f>IF((J39&gt;0),J39,(I38*(1+J40)))</f>
        <v/>
      </c>
      <c r="K38" s="17">
        <f>IF((K39&gt;0),K39,(J38*(1+K40)))</f>
        <v/>
      </c>
      <c r="L38" s="17">
        <f>IF((L39&gt;0),L39,(K38*(1+L40)))</f>
        <v/>
      </c>
    </row>
    <row r="39">
      <c r="A39" s="26" t="inlineStr">
        <is>
          <t>부동산 실적</t>
        </is>
      </c>
      <c r="B39" s="2" t="inlineStr">
        <is>
          <t>est_actual</t>
        </is>
      </c>
      <c r="C39" s="2" t="inlineStr">
        <is>
          <t>억원</t>
        </is>
      </c>
      <c r="D39" s="27" t="n">
        <v>6071</v>
      </c>
      <c r="E39" s="27" t="n">
        <v>5501</v>
      </c>
      <c r="F39" s="27" t="n">
        <v>3613</v>
      </c>
      <c r="G39" s="27" t="n">
        <v>7127</v>
      </c>
      <c r="H39" s="28" t="n">
        <v>0</v>
      </c>
      <c r="I39" s="28" t="n">
        <v>0</v>
      </c>
      <c r="J39" s="28" t="n">
        <v>0</v>
      </c>
      <c r="K39" s="28" t="n">
        <v>0</v>
      </c>
      <c r="L39" s="28" t="n">
        <v>0</v>
      </c>
    </row>
    <row r="40">
      <c r="A40" s="26" t="inlineStr">
        <is>
          <t>부동산 성장률</t>
        </is>
      </c>
      <c r="B40" s="2" t="inlineStr">
        <is>
          <t>est_g</t>
        </is>
      </c>
      <c r="C40" s="2" t="inlineStr">
        <is>
          <t>%</t>
        </is>
      </c>
      <c r="D40" s="23" t="n">
        <v>0</v>
      </c>
      <c r="E40" s="23" t="n">
        <v>0</v>
      </c>
      <c r="F40" s="23" t="n">
        <v>0</v>
      </c>
      <c r="G40" s="23" t="n">
        <v>0</v>
      </c>
      <c r="H40" s="24" t="n">
        <v>-0.2</v>
      </c>
      <c r="I40" s="24" t="n">
        <v>-0.02</v>
      </c>
      <c r="J40" s="24" t="n">
        <v>0</v>
      </c>
      <c r="K40" s="24" t="n">
        <v>0</v>
      </c>
      <c r="L40" s="24" t="n">
        <v>0</v>
      </c>
    </row>
    <row r="41">
      <c r="A41" s="26" t="inlineStr">
        <is>
          <t>기타</t>
        </is>
      </c>
      <c r="B41" s="2" t="inlineStr">
        <is>
          <t>etc</t>
        </is>
      </c>
      <c r="C41" s="2" t="inlineStr">
        <is>
          <t>억원</t>
        </is>
      </c>
      <c r="D41" s="16">
        <f>IF((D42&gt;0),D42,(0*(1+D43)))</f>
        <v/>
      </c>
      <c r="E41" s="16">
        <f>IF((E42&gt;0),E42,(D41*(1+E43)))</f>
        <v/>
      </c>
      <c r="F41" s="16">
        <f>IF((F42&gt;0),F42,(E41*(1+F43)))</f>
        <v/>
      </c>
      <c r="G41" s="16">
        <f>IF((G42&gt;0),G42,(F41*(1+G43)))</f>
        <v/>
      </c>
      <c r="H41" s="17">
        <f>IF((H42&gt;0),H42,(G41*(1+H43)))</f>
        <v/>
      </c>
      <c r="I41" s="17">
        <f>IF((I42&gt;0),I42,(H41*(1+I43)))</f>
        <v/>
      </c>
      <c r="J41" s="17">
        <f>IF((J42&gt;0),J42,(I41*(1+J43)))</f>
        <v/>
      </c>
      <c r="K41" s="17">
        <f>IF((K42&gt;0),K42,(J41*(1+K43)))</f>
        <v/>
      </c>
      <c r="L41" s="17">
        <f>IF((L42&gt;0),L42,(K41*(1+L43)))</f>
        <v/>
      </c>
    </row>
    <row r="42">
      <c r="A42" s="26" t="inlineStr">
        <is>
          <t>기타 실적</t>
        </is>
      </c>
      <c r="B42" s="2" t="inlineStr">
        <is>
          <t>etc_actual</t>
        </is>
      </c>
      <c r="C42" s="2" t="inlineStr">
        <is>
          <t>억원</t>
        </is>
      </c>
      <c r="D42" s="27" t="n">
        <v>2815</v>
      </c>
      <c r="E42" s="27" t="n">
        <v>3067</v>
      </c>
      <c r="F42" s="27" t="n">
        <v>3403</v>
      </c>
      <c r="G42" s="27" t="n">
        <v>3628</v>
      </c>
      <c r="H42" s="28" t="n">
        <v>0</v>
      </c>
      <c r="I42" s="28" t="n">
        <v>0</v>
      </c>
      <c r="J42" s="28" t="n">
        <v>0</v>
      </c>
      <c r="K42" s="28" t="n">
        <v>0</v>
      </c>
      <c r="L42" s="28" t="n">
        <v>0</v>
      </c>
    </row>
    <row r="43">
      <c r="A43" s="26" t="inlineStr">
        <is>
          <t>기타 성장률</t>
        </is>
      </c>
      <c r="B43" s="2" t="inlineStr">
        <is>
          <t>etc_g</t>
        </is>
      </c>
      <c r="C43" s="2" t="inlineStr">
        <is>
          <t>%</t>
        </is>
      </c>
      <c r="D43" s="23" t="n">
        <v>0</v>
      </c>
      <c r="E43" s="23" t="n">
        <v>0</v>
      </c>
      <c r="F43" s="23" t="n">
        <v>0</v>
      </c>
      <c r="G43" s="23" t="n">
        <v>0</v>
      </c>
      <c r="H43" s="24" t="n">
        <v>0.05</v>
      </c>
      <c r="I43" s="24" t="n">
        <v>0.05</v>
      </c>
      <c r="J43" s="24" t="n">
        <v>0.04</v>
      </c>
      <c r="K43" s="24" t="n">
        <v>0.04</v>
      </c>
      <c r="L43" s="24" t="n">
        <v>0.03</v>
      </c>
    </row>
    <row r="44">
      <c r="A44" s="21" t="inlineStr">
        <is>
          <t>CAPEX</t>
        </is>
      </c>
      <c r="B44" s="2" t="inlineStr">
        <is>
          <t>capex</t>
        </is>
      </c>
      <c r="C44" s="2" t="inlineStr">
        <is>
          <t>억원</t>
        </is>
      </c>
      <c r="D44" s="16">
        <f>IF((D45&gt;0),D45,(D31*D46))</f>
        <v/>
      </c>
      <c r="E44" s="16">
        <f>IF((E45&gt;0),E45,(E31*E46))</f>
        <v/>
      </c>
      <c r="F44" s="16">
        <f>IF((F45&gt;0),F45,(F31*F46))</f>
        <v/>
      </c>
      <c r="G44" s="16">
        <f>IF((G45&gt;0),G45,(G31*G46))</f>
        <v/>
      </c>
      <c r="H44" s="17">
        <f>IF((H45&gt;0),H45,(H31*H46))</f>
        <v/>
      </c>
      <c r="I44" s="17">
        <f>IF((I45&gt;0),I45,(I31*I46))</f>
        <v/>
      </c>
      <c r="J44" s="17">
        <f>IF((J45&gt;0),J45,(J31*J46))</f>
        <v/>
      </c>
      <c r="K44" s="17">
        <f>IF((K45&gt;0),K45,(K31*K46))</f>
        <v/>
      </c>
      <c r="L44" s="17">
        <f>IF((L45&gt;0),L45,(L31*L46))</f>
        <v/>
      </c>
    </row>
    <row r="45">
      <c r="A45" s="22" t="inlineStr">
        <is>
          <t>CAPEX 실적</t>
        </is>
      </c>
      <c r="B45" s="2" t="inlineStr">
        <is>
          <t>capex_actual</t>
        </is>
      </c>
      <c r="C45" s="2" t="inlineStr">
        <is>
          <t>억원</t>
        </is>
      </c>
      <c r="D45" s="27" t="n">
        <v>2829</v>
      </c>
      <c r="E45" s="27" t="n">
        <v>5134</v>
      </c>
      <c r="F45" s="27" t="n">
        <v>7972</v>
      </c>
      <c r="G45" s="27" t="n">
        <v>6745</v>
      </c>
      <c r="H45" s="28" t="n">
        <v>0</v>
      </c>
      <c r="I45" s="28" t="n">
        <v>0</v>
      </c>
      <c r="J45" s="28" t="n">
        <v>0</v>
      </c>
      <c r="K45" s="28" t="n">
        <v>0</v>
      </c>
      <c r="L45" s="28" t="n">
        <v>0</v>
      </c>
    </row>
    <row r="46">
      <c r="A46" s="22" t="inlineStr">
        <is>
          <t>CAPEX 비율</t>
        </is>
      </c>
      <c r="B46" s="2" t="inlineStr">
        <is>
          <t>capex_ratio</t>
        </is>
      </c>
      <c r="C46" s="2" t="inlineStr">
        <is>
          <t>%</t>
        </is>
      </c>
      <c r="D46" s="23" t="n">
        <v>0</v>
      </c>
      <c r="E46" s="23" t="n">
        <v>0</v>
      </c>
      <c r="F46" s="23" t="n">
        <v>0</v>
      </c>
      <c r="G46" s="23" t="n">
        <v>0</v>
      </c>
      <c r="H46" s="24" t="n">
        <v>0.095</v>
      </c>
      <c r="I46" s="24" t="n">
        <v>0.09</v>
      </c>
      <c r="J46" s="24" t="n">
        <v>0.08500000000000001</v>
      </c>
      <c r="K46" s="24" t="n">
        <v>0.08</v>
      </c>
      <c r="L46" s="24" t="n">
        <v>0.075</v>
      </c>
    </row>
    <row r="47">
      <c r="A47" s="20" t="inlineStr">
        <is>
          <t>할인계수</t>
        </is>
      </c>
      <c r="B47" s="2" t="inlineStr">
        <is>
          <t>df</t>
        </is>
      </c>
      <c r="C47" s="2" t="inlineStr">
        <is>
          <t>배</t>
        </is>
      </c>
      <c r="D47" s="16">
        <f>IF((D48&gt;0),1,(0/(1+D49)))</f>
        <v/>
      </c>
      <c r="E47" s="16">
        <f>IF((E48&gt;0),1,(D47/(1+E49)))</f>
        <v/>
      </c>
      <c r="F47" s="16">
        <f>IF((F48&gt;0),1,(E47/(1+F49)))</f>
        <v/>
      </c>
      <c r="G47" s="16">
        <f>IF((G48&gt;0),1,(F47/(1+G49)))</f>
        <v/>
      </c>
      <c r="H47" s="17">
        <f>IF((H48&gt;0),1,(G47/(1+H49)))</f>
        <v/>
      </c>
      <c r="I47" s="17">
        <f>IF((I48&gt;0),1,(H47/(1+I49)))</f>
        <v/>
      </c>
      <c r="J47" s="17">
        <f>IF((J48&gt;0),1,(I47/(1+J49)))</f>
        <v/>
      </c>
      <c r="K47" s="17">
        <f>IF((K48&gt;0),1,(J47/(1+K49)))</f>
        <v/>
      </c>
      <c r="L47" s="17">
        <f>IF((L48&gt;0),1,(K47/(1+L49)))</f>
        <v/>
      </c>
    </row>
    <row r="48">
      <c r="A48" s="21" t="inlineStr">
        <is>
          <t>실적 구간 표시</t>
        </is>
      </c>
      <c r="B48" s="2" t="inlineStr">
        <is>
          <t>df_hist</t>
        </is>
      </c>
      <c r="C48" s="2" t="inlineStr"/>
      <c r="D48" s="27" t="n">
        <v>1</v>
      </c>
      <c r="E48" s="27" t="n">
        <v>1</v>
      </c>
      <c r="F48" s="27" t="n">
        <v>1</v>
      </c>
      <c r="G48" s="27" t="n">
        <v>1</v>
      </c>
      <c r="H48" s="28" t="n">
        <v>0</v>
      </c>
      <c r="I48" s="28" t="n">
        <v>0</v>
      </c>
      <c r="J48" s="28" t="n">
        <v>0</v>
      </c>
      <c r="K48" s="28" t="n">
        <v>0</v>
      </c>
      <c r="L48" s="28" t="n">
        <v>0</v>
      </c>
    </row>
    <row r="49">
      <c r="A49" s="21" t="inlineStr">
        <is>
          <t>WACC</t>
        </is>
      </c>
      <c r="B49" s="2" t="inlineStr">
        <is>
          <t>wacc</t>
        </is>
      </c>
      <c r="C49" s="2" t="inlineStr">
        <is>
          <t>%</t>
        </is>
      </c>
      <c r="D49" s="23" t="n">
        <v>0.08</v>
      </c>
      <c r="E49" s="23" t="n">
        <v>0.08</v>
      </c>
      <c r="F49" s="23" t="n">
        <v>0.08</v>
      </c>
      <c r="G49" s="23" t="n">
        <v>0.08</v>
      </c>
      <c r="H49" s="24" t="n">
        <v>0.08</v>
      </c>
      <c r="I49" s="24" t="n">
        <v>0.08</v>
      </c>
      <c r="J49" s="24" t="n">
        <v>0.08</v>
      </c>
      <c r="K49" s="24" t="n">
        <v>0.08</v>
      </c>
      <c r="L49" s="24" t="n">
        <v>0.08</v>
      </c>
    </row>
    <row r="50">
      <c r="A50" s="18" t="inlineStr">
        <is>
          <t>잔존가치 PV</t>
        </is>
      </c>
      <c r="B50" s="2" t="inlineStr">
        <is>
          <t>tv_pv</t>
        </is>
      </c>
      <c r="C50" s="2" t="inlineStr">
        <is>
          <t>억원</t>
        </is>
      </c>
      <c r="D50" s="16">
        <f>(((D9*(1+D51))/(D49-D51))*D47)</f>
        <v/>
      </c>
      <c r="E50" s="16">
        <f>(((E9*(1+E51))/(E49-E51))*E47)</f>
        <v/>
      </c>
      <c r="F50" s="16">
        <f>(((F9*(1+F51))/(F49-F51))*F47)</f>
        <v/>
      </c>
      <c r="G50" s="16">
        <f>(((G9*(1+G51))/(G49-G51))*G47)</f>
        <v/>
      </c>
      <c r="H50" s="17">
        <f>(((H9*(1+H51))/(H49-H51))*H47)</f>
        <v/>
      </c>
      <c r="I50" s="17">
        <f>(((I9*(1+I51))/(I49-I51))*I47)</f>
        <v/>
      </c>
      <c r="J50" s="17">
        <f>(((J9*(1+J51))/(J49-J51))*J47)</f>
        <v/>
      </c>
      <c r="K50" s="17">
        <f>(((K9*(1+K51))/(K49-K51))*K47)</f>
        <v/>
      </c>
      <c r="L50" s="17">
        <f>(((L9*(1+L51))/(L49-L51))*L47)</f>
        <v/>
      </c>
    </row>
    <row r="51">
      <c r="A51" s="19" t="inlineStr">
        <is>
          <t>영구성장률</t>
        </is>
      </c>
      <c r="B51" s="2" t="inlineStr">
        <is>
          <t>tv_growth</t>
        </is>
      </c>
      <c r="C51" s="2" t="inlineStr">
        <is>
          <t>%</t>
        </is>
      </c>
      <c r="D51" s="23" t="n">
        <v>0.01</v>
      </c>
      <c r="E51" s="23" t="n">
        <v>0.01</v>
      </c>
      <c r="F51" s="23" t="n">
        <v>0.01</v>
      </c>
      <c r="G51" s="23" t="n">
        <v>0.01</v>
      </c>
      <c r="H51" s="24" t="n">
        <v>0.01</v>
      </c>
      <c r="I51" s="24" t="n">
        <v>0.01</v>
      </c>
      <c r="J51" s="24" t="n">
        <v>0.01</v>
      </c>
      <c r="K51" s="24" t="n">
        <v>0.01</v>
      </c>
      <c r="L51" s="24" t="n">
        <v>0.01</v>
      </c>
    </row>
    <row r="52">
      <c r="A52" s="15" t="inlineStr">
        <is>
          <t>순차입금</t>
        </is>
      </c>
      <c r="B52" s="2" t="inlineStr">
        <is>
          <t>net_debt</t>
        </is>
      </c>
      <c r="C52" s="2" t="inlineStr">
        <is>
          <t>억원</t>
        </is>
      </c>
      <c r="D52" s="27" t="n">
        <v>-12455</v>
      </c>
      <c r="E52" s="27" t="n">
        <v>-4964</v>
      </c>
      <c r="F52" s="27" t="n">
        <v>3375</v>
      </c>
      <c r="G52" s="27" t="n">
        <v>8556</v>
      </c>
      <c r="H52" s="28" t="n">
        <v>8556</v>
      </c>
      <c r="I52" s="28" t="n">
        <v>8556</v>
      </c>
      <c r="J52" s="28" t="n">
        <v>8556</v>
      </c>
      <c r="K52" s="28" t="n">
        <v>8556</v>
      </c>
      <c r="L52" s="28" t="n">
        <v>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6" customWidth="1" min="3" max="3"/>
    <col width="60" customWidth="1" min="4" max="4"/>
    <col width="60" customWidth="1" min="5" max="5"/>
  </cols>
  <sheetData>
    <row r="1">
      <c r="A1" s="1" t="inlineStr">
        <is>
          <t>수식 감사</t>
        </is>
      </c>
    </row>
    <row r="2">
      <c r="A2" s="2" t="inlineStr">
        <is>
          <t>모델 원식 ↔ Excel 셀 수식 대조. 변환은 엔진의 astToExcel이 담당한다.</t>
        </is>
      </c>
    </row>
    <row r="4">
      <c r="A4" s="3" t="inlineStr">
        <is>
          <t>노드 id</t>
        </is>
      </c>
      <c r="B4" s="3" t="inlineStr">
        <is>
          <t>계정</t>
        </is>
      </c>
      <c r="C4" s="3" t="inlineStr">
        <is>
          <t>행</t>
        </is>
      </c>
      <c r="D4" s="3" t="inlineStr">
        <is>
          <t>모델 원식</t>
        </is>
      </c>
      <c r="E4" s="3" t="inlineStr">
        <is>
          <t>첫 추정연도 셀 수식</t>
        </is>
      </c>
    </row>
    <row r="5">
      <c r="A5" s="2" t="inlineStr">
        <is>
          <t>root</t>
        </is>
      </c>
      <c r="B5" s="5" t="inlineStr">
        <is>
          <t>적정 시가총액</t>
        </is>
      </c>
      <c r="C5" s="2" t="n">
        <v>5</v>
      </c>
      <c r="D5" s="29" t="inlineStr">
        <is>
          <t>ev - net_debt</t>
        </is>
      </c>
      <c r="E5" s="11" t="inlineStr">
        <is>
          <t>'=(H6-H52)</t>
        </is>
      </c>
    </row>
    <row r="6">
      <c r="A6" s="2" t="inlineStr">
        <is>
          <t>ev</t>
        </is>
      </c>
      <c r="B6" s="5" t="inlineStr">
        <is>
          <t>기업가치 (EV)</t>
        </is>
      </c>
      <c r="C6" s="2" t="n">
        <v>6</v>
      </c>
      <c r="D6" s="29" t="inlineStr">
        <is>
          <t>cum_pv + tv_pv</t>
        </is>
      </c>
      <c r="E6" s="11" t="inlineStr">
        <is>
          <t>'=(H7+H50)</t>
        </is>
      </c>
    </row>
    <row r="7">
      <c r="A7" s="2" t="inlineStr">
        <is>
          <t>cum_pv</t>
        </is>
      </c>
      <c r="B7" s="5" t="inlineStr">
        <is>
          <t>추정기간 PV 누적</t>
        </is>
      </c>
      <c r="C7" s="2" t="n">
        <v>7</v>
      </c>
      <c r="D7" s="29" t="inlineStr">
        <is>
          <t>PREV(cum_pv) + pv_fcf * (1 - df_hist)</t>
        </is>
      </c>
      <c r="E7" s="11" t="inlineStr">
        <is>
          <t>'=(G7+(H8*(1-H48)))</t>
        </is>
      </c>
    </row>
    <row r="8">
      <c r="A8" s="2" t="inlineStr">
        <is>
          <t>pv_fcf</t>
        </is>
      </c>
      <c r="B8" s="5" t="inlineStr">
        <is>
          <t>FCF 현재가치</t>
        </is>
      </c>
      <c r="C8" s="2" t="n">
        <v>8</v>
      </c>
      <c r="D8" s="29" t="inlineStr">
        <is>
          <t>fcf * df</t>
        </is>
      </c>
      <c r="E8" s="11" t="inlineStr">
        <is>
          <t>'=(H9*H47)</t>
        </is>
      </c>
    </row>
    <row r="9">
      <c r="A9" s="2" t="inlineStr">
        <is>
          <t>fcf</t>
        </is>
      </c>
      <c r="B9" s="5" t="inlineStr">
        <is>
          <t>잉여현금흐름 (FCF)</t>
        </is>
      </c>
      <c r="C9" s="2" t="n">
        <v>9</v>
      </c>
      <c r="D9" s="29" t="inlineStr">
        <is>
          <t>nopat + dep_total - capex</t>
        </is>
      </c>
      <c r="E9" s="11" t="inlineStr">
        <is>
          <t>'=((H10+H25)-H44)</t>
        </is>
      </c>
    </row>
    <row r="10">
      <c r="A10" s="2" t="inlineStr">
        <is>
          <t>nopat</t>
        </is>
      </c>
      <c r="B10" s="5" t="inlineStr">
        <is>
          <t>세후영업이익 (NOPAT)</t>
        </is>
      </c>
      <c r="C10" s="2" t="n">
        <v>10</v>
      </c>
      <c r="D10" s="29" t="inlineStr">
        <is>
          <t>op_profit * (1 - tax_rate)</t>
        </is>
      </c>
      <c r="E10" s="11" t="inlineStr">
        <is>
          <t>'=(H12*(1-H11))</t>
        </is>
      </c>
    </row>
    <row r="11">
      <c r="A11" s="2" t="inlineStr">
        <is>
          <t>op_profit</t>
        </is>
      </c>
      <c r="B11" s="5" t="inlineStr">
        <is>
          <t>영업이익</t>
        </is>
      </c>
      <c r="C11" s="2" t="n">
        <v>12</v>
      </c>
      <c r="D11" s="29" t="inlineStr">
        <is>
          <t>total_revenue - total_cost</t>
        </is>
      </c>
      <c r="E11" s="11" t="inlineStr">
        <is>
          <t>'=(H31-H24)</t>
        </is>
      </c>
    </row>
    <row r="12">
      <c r="A12" s="2" t="inlineStr">
        <is>
          <t>ebitda</t>
        </is>
      </c>
      <c r="B12" s="5" t="inlineStr">
        <is>
          <t>EBITDA (참고)</t>
        </is>
      </c>
      <c r="C12" s="2" t="n">
        <v>13</v>
      </c>
      <c r="D12" s="29" t="inlineStr">
        <is>
          <t>op_profit + dep_total</t>
        </is>
      </c>
      <c r="E12" s="11" t="inlineStr">
        <is>
          <t>'=(H12+H25)</t>
        </is>
      </c>
    </row>
    <row r="13">
      <c r="A13" s="2" t="inlineStr">
        <is>
          <t>net_income</t>
        </is>
      </c>
      <c r="B13" s="5" t="inlineStr">
        <is>
          <t>지배주주 순이익 (참고)</t>
        </is>
      </c>
      <c r="C13" s="2" t="n">
        <v>14</v>
      </c>
      <c r="D13" s="29" t="inlineStr">
        <is>
          <t>IF(ni_hist &gt; 0, ni_actual, (op_profit + nonop) * (1 - tax_rate) * ctrl_ratio)</t>
        </is>
      </c>
      <c r="E13" s="11" t="inlineStr">
        <is>
          <t>'=IF((H15&gt;0),H16,(((H12+H17)*(1-H11))*H18))</t>
        </is>
      </c>
    </row>
    <row r="14">
      <c r="A14" s="2" t="inlineStr">
        <is>
          <t>eps</t>
        </is>
      </c>
      <c r="B14" s="5" t="inlineStr">
        <is>
          <t>EPS (참고)</t>
        </is>
      </c>
      <c r="C14" s="2" t="n">
        <v>19</v>
      </c>
      <c r="D14" s="29" t="inlineStr">
        <is>
          <t>net_income / shares * 100</t>
        </is>
      </c>
      <c r="E14" s="11" t="inlineStr">
        <is>
          <t>'=((H14/H20)*100)</t>
        </is>
      </c>
    </row>
    <row r="15">
      <c r="A15" s="2" t="inlineStr">
        <is>
          <t>dps</t>
        </is>
      </c>
      <c r="B15" s="5" t="inlineStr">
        <is>
          <t>DPS (참고)</t>
        </is>
      </c>
      <c r="C15" s="2" t="n">
        <v>21</v>
      </c>
      <c r="D15" s="29" t="inlineStr">
        <is>
          <t>IF(ni_hist &gt; 0, dps_a, eps * payout)</t>
        </is>
      </c>
      <c r="E15" s="11" t="inlineStr">
        <is>
          <t>'=IF((H15&gt;0),H22,(H19*H23))</t>
        </is>
      </c>
    </row>
    <row r="16">
      <c r="A16" s="2" t="inlineStr">
        <is>
          <t>total_cost</t>
        </is>
      </c>
      <c r="B16" s="5" t="inlineStr">
        <is>
          <t>총비용</t>
        </is>
      </c>
      <c r="C16" s="2" t="n">
        <v>24</v>
      </c>
      <c r="D16" s="29" t="inlineStr">
        <is>
          <t>dep_total + other_cost</t>
        </is>
      </c>
      <c r="E16" s="11" t="inlineStr">
        <is>
          <t>'=(H25+H28)</t>
        </is>
      </c>
    </row>
    <row r="17">
      <c r="A17" s="2" t="inlineStr">
        <is>
          <t>dep_total</t>
        </is>
      </c>
      <c r="B17" s="5" t="inlineStr">
        <is>
          <t>감가상각비</t>
        </is>
      </c>
      <c r="C17" s="2" t="n">
        <v>25</v>
      </c>
      <c r="D17" s="29" t="inlineStr">
        <is>
          <t>IF(dep_actual &gt; 0, dep_actual, PREV(dep_total) * (1 + dep_g))</t>
        </is>
      </c>
      <c r="E17" s="11" t="inlineStr">
        <is>
          <t>'=IF((H26&gt;0),H26,(G25*(1+H27)))</t>
        </is>
      </c>
    </row>
    <row r="18">
      <c r="A18" s="2" t="inlineStr">
        <is>
          <t>other_cost</t>
        </is>
      </c>
      <c r="B18" s="5" t="inlineStr">
        <is>
          <t>기타비용</t>
        </is>
      </c>
      <c r="C18" s="2" t="n">
        <v>28</v>
      </c>
      <c r="D18" s="29" t="inlineStr">
        <is>
          <t>IF(other_actual &gt; 0, other_actual, total_revenue * other_ratio)</t>
        </is>
      </c>
      <c r="E18" s="11" t="inlineStr">
        <is>
          <t>'=IF((H29&gt;0),H29,(H31*H30))</t>
        </is>
      </c>
    </row>
    <row r="19">
      <c r="A19" s="2" t="inlineStr">
        <is>
          <t>total_revenue</t>
        </is>
      </c>
      <c r="B19" s="5" t="inlineStr">
        <is>
          <t>총매출</t>
        </is>
      </c>
      <c r="C19" s="2" t="n">
        <v>31</v>
      </c>
      <c r="D19" s="29" t="inlineStr">
        <is>
          <t>tobacco + ginseng + estate + etc</t>
        </is>
      </c>
      <c r="E19" s="11" t="inlineStr">
        <is>
          <t>'=(((H32+H35)+H38)+H41)</t>
        </is>
      </c>
    </row>
    <row r="20">
      <c r="A20" s="2" t="inlineStr">
        <is>
          <t>tobacco</t>
        </is>
      </c>
      <c r="B20" s="5" t="inlineStr">
        <is>
          <t>담배</t>
        </is>
      </c>
      <c r="C20" s="2" t="n">
        <v>32</v>
      </c>
      <c r="D20" s="29" t="inlineStr">
        <is>
          <t>IF(tob_actual &gt; 0, tob_actual, PREV(tobacco) * (1 + tob_g))</t>
        </is>
      </c>
      <c r="E20" s="11" t="inlineStr">
        <is>
          <t>'=IF((H33&gt;0),H33,(G32*(1+H34)))</t>
        </is>
      </c>
    </row>
    <row r="21">
      <c r="A21" s="2" t="inlineStr">
        <is>
          <t>ginseng</t>
        </is>
      </c>
      <c r="B21" s="5" t="inlineStr">
        <is>
          <t>인삼 (KGC)</t>
        </is>
      </c>
      <c r="C21" s="2" t="n">
        <v>35</v>
      </c>
      <c r="D21" s="29" t="inlineStr">
        <is>
          <t>IF(gin_actual &gt; 0, gin_actual, PREV(ginseng) * (1 + gin_g))</t>
        </is>
      </c>
      <c r="E21" s="11" t="inlineStr">
        <is>
          <t>'=IF((H36&gt;0),H36,(G35*(1+H37)))</t>
        </is>
      </c>
    </row>
    <row r="22">
      <c r="A22" s="2" t="inlineStr">
        <is>
          <t>estate</t>
        </is>
      </c>
      <c r="B22" s="5" t="inlineStr">
        <is>
          <t>부동산</t>
        </is>
      </c>
      <c r="C22" s="2" t="n">
        <v>38</v>
      </c>
      <c r="D22" s="29" t="inlineStr">
        <is>
          <t>IF(est_actual &gt; 0, est_actual, PREV(estate) * (1 + est_g))</t>
        </is>
      </c>
      <c r="E22" s="11" t="inlineStr">
        <is>
          <t>'=IF((H39&gt;0),H39,(G38*(1+H40)))</t>
        </is>
      </c>
    </row>
    <row r="23">
      <c r="A23" s="2" t="inlineStr">
        <is>
          <t>etc</t>
        </is>
      </c>
      <c r="B23" s="5" t="inlineStr">
        <is>
          <t>기타</t>
        </is>
      </c>
      <c r="C23" s="2" t="n">
        <v>41</v>
      </c>
      <c r="D23" s="29" t="inlineStr">
        <is>
          <t>IF(etc_actual &gt; 0, etc_actual, PREV(etc) * (1 + etc_g))</t>
        </is>
      </c>
      <c r="E23" s="11" t="inlineStr">
        <is>
          <t>'=IF((H42&gt;0),H42,(G41*(1+H43)))</t>
        </is>
      </c>
    </row>
    <row r="24">
      <c r="A24" s="2" t="inlineStr">
        <is>
          <t>capex</t>
        </is>
      </c>
      <c r="B24" s="5" t="inlineStr">
        <is>
          <t>CAPEX</t>
        </is>
      </c>
      <c r="C24" s="2" t="n">
        <v>44</v>
      </c>
      <c r="D24" s="29" t="inlineStr">
        <is>
          <t>IF(capex_actual &gt; 0, capex_actual, total_revenue * capex_ratio)</t>
        </is>
      </c>
      <c r="E24" s="11" t="inlineStr">
        <is>
          <t>'=IF((H45&gt;0),H45,(H31*H46))</t>
        </is>
      </c>
    </row>
    <row r="25">
      <c r="A25" s="2" t="inlineStr">
        <is>
          <t>df</t>
        </is>
      </c>
      <c r="B25" s="5" t="inlineStr">
        <is>
          <t>할인계수</t>
        </is>
      </c>
      <c r="C25" s="2" t="n">
        <v>47</v>
      </c>
      <c r="D25" s="29" t="inlineStr">
        <is>
          <t>IF(df_hist &gt; 0, 1, PREV(df) / (1 + wacc))</t>
        </is>
      </c>
      <c r="E25" s="11" t="inlineStr">
        <is>
          <t>'=IF((H48&gt;0),1,(G47/(1+H49)))</t>
        </is>
      </c>
    </row>
    <row r="26">
      <c r="A26" s="2" t="inlineStr">
        <is>
          <t>tv_pv</t>
        </is>
      </c>
      <c r="B26" s="5" t="inlineStr">
        <is>
          <t>잔존가치 PV</t>
        </is>
      </c>
      <c r="C26" s="2" t="n">
        <v>50</v>
      </c>
      <c r="D26" s="29" t="inlineStr">
        <is>
          <t>fcf * (1 + tv_growth) / (wacc - tv_growth) * df</t>
        </is>
      </c>
      <c r="E26" s="11" t="inlineStr">
        <is>
          <t>'=(((H9*(1+H51))/(H49-H51))*H47)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7" customWidth="1" min="3" max="3"/>
    <col width="12" customWidth="1" min="4" max="4"/>
    <col width="9" customWidth="1" min="5" max="5"/>
    <col width="7" customWidth="1" min="6" max="6"/>
    <col width="12" customWidth="1" min="7" max="7"/>
  </cols>
  <sheetData>
    <row r="1">
      <c r="A1" s="1" t="inlineStr">
        <is>
          <t>트리 구조</t>
        </is>
      </c>
    </row>
    <row r="3">
      <c r="A3" s="3" t="inlineStr">
        <is>
          <t>노드 id</t>
        </is>
      </c>
      <c r="B3" s="3" t="inlineStr">
        <is>
          <t>계정</t>
        </is>
      </c>
      <c r="C3" s="3" t="inlineStr">
        <is>
          <t>깊이</t>
        </is>
      </c>
      <c r="D3" s="3" t="inlineStr">
        <is>
          <t>유형</t>
        </is>
      </c>
      <c r="E3" s="3" t="inlineStr">
        <is>
          <t>합계형</t>
        </is>
      </c>
      <c r="F3" s="3" t="inlineStr">
        <is>
          <t>행</t>
        </is>
      </c>
      <c r="G3" s="3" t="inlineStr">
        <is>
          <t>단위</t>
        </is>
      </c>
    </row>
    <row r="4">
      <c r="A4" s="2" t="inlineStr">
        <is>
          <t>root</t>
        </is>
      </c>
      <c r="B4" t="inlineStr">
        <is>
          <t>적정 시가총액</t>
        </is>
      </c>
      <c r="C4" t="n">
        <v>0</v>
      </c>
      <c r="D4" t="inlineStr">
        <is>
          <t>computed</t>
        </is>
      </c>
      <c r="E4" t="inlineStr"/>
      <c r="F4" t="n">
        <v>5</v>
      </c>
      <c r="G4" t="inlineStr">
        <is>
          <t>억원</t>
        </is>
      </c>
    </row>
    <row r="5">
      <c r="A5" s="2" t="inlineStr">
        <is>
          <t>ev</t>
        </is>
      </c>
      <c r="B5" s="30" t="inlineStr">
        <is>
          <t>기업가치 (EV)</t>
        </is>
      </c>
      <c r="C5" t="n">
        <v>1</v>
      </c>
      <c r="D5" t="inlineStr">
        <is>
          <t>computed</t>
        </is>
      </c>
      <c r="E5" t="inlineStr">
        <is>
          <t>Y</t>
        </is>
      </c>
      <c r="F5" t="n">
        <v>6</v>
      </c>
      <c r="G5" t="inlineStr">
        <is>
          <t>억원</t>
        </is>
      </c>
    </row>
    <row r="6">
      <c r="A6" s="2" t="inlineStr">
        <is>
          <t>cum_pv</t>
        </is>
      </c>
      <c r="B6" s="31" t="inlineStr">
        <is>
          <t>추정기간 PV 누적</t>
        </is>
      </c>
      <c r="C6" t="n">
        <v>2</v>
      </c>
      <c r="D6" t="inlineStr">
        <is>
          <t>computed</t>
        </is>
      </c>
      <c r="E6" t="inlineStr"/>
      <c r="F6" t="n">
        <v>7</v>
      </c>
      <c r="G6" t="inlineStr">
        <is>
          <t>억원</t>
        </is>
      </c>
    </row>
    <row r="7">
      <c r="A7" s="2" t="inlineStr">
        <is>
          <t>pv_fcf</t>
        </is>
      </c>
      <c r="B7" s="32" t="inlineStr">
        <is>
          <t>FCF 현재가치</t>
        </is>
      </c>
      <c r="C7" t="n">
        <v>3</v>
      </c>
      <c r="D7" t="inlineStr">
        <is>
          <t>computed</t>
        </is>
      </c>
      <c r="E7" t="inlineStr"/>
      <c r="F7" t="n">
        <v>8</v>
      </c>
      <c r="G7" t="inlineStr">
        <is>
          <t>억원</t>
        </is>
      </c>
    </row>
    <row r="8">
      <c r="A8" s="2" t="inlineStr">
        <is>
          <t>fcf</t>
        </is>
      </c>
      <c r="B8" s="33" t="inlineStr">
        <is>
          <t>잉여현금흐름 (FCF)</t>
        </is>
      </c>
      <c r="C8" t="n">
        <v>4</v>
      </c>
      <c r="D8" t="inlineStr">
        <is>
          <t>computed</t>
        </is>
      </c>
      <c r="E8" t="inlineStr"/>
      <c r="F8" t="n">
        <v>9</v>
      </c>
      <c r="G8" t="inlineStr">
        <is>
          <t>억원</t>
        </is>
      </c>
    </row>
    <row r="9">
      <c r="A9" s="2" t="inlineStr">
        <is>
          <t>nopat</t>
        </is>
      </c>
      <c r="B9" s="34" t="inlineStr">
        <is>
          <t>세후영업이익 (NOPAT)</t>
        </is>
      </c>
      <c r="C9" t="n">
        <v>5</v>
      </c>
      <c r="D9" t="inlineStr">
        <is>
          <t>computed</t>
        </is>
      </c>
      <c r="E9" t="inlineStr"/>
      <c r="F9" t="n">
        <v>10</v>
      </c>
      <c r="G9" t="inlineStr">
        <is>
          <t>억원</t>
        </is>
      </c>
    </row>
    <row r="10">
      <c r="A10" s="2" t="inlineStr">
        <is>
          <t>tax_rate</t>
        </is>
      </c>
      <c r="B10" s="35" t="inlineStr">
        <is>
          <t>법인세율</t>
        </is>
      </c>
      <c r="C10" t="n">
        <v>6</v>
      </c>
      <c r="D10" t="inlineStr">
        <is>
          <t>input</t>
        </is>
      </c>
      <c r="E10" t="inlineStr"/>
      <c r="F10" t="n">
        <v>11</v>
      </c>
      <c r="G10" t="inlineStr">
        <is>
          <t>%</t>
        </is>
      </c>
    </row>
    <row r="11">
      <c r="A11" s="2" t="inlineStr">
        <is>
          <t>op_profit</t>
        </is>
      </c>
      <c r="B11" s="35" t="inlineStr">
        <is>
          <t>영업이익</t>
        </is>
      </c>
      <c r="C11" t="n">
        <v>6</v>
      </c>
      <c r="D11" t="inlineStr">
        <is>
          <t>computed</t>
        </is>
      </c>
      <c r="E11" t="inlineStr"/>
      <c r="F11" t="n">
        <v>12</v>
      </c>
      <c r="G11" t="inlineStr">
        <is>
          <t>억원</t>
        </is>
      </c>
    </row>
    <row r="12">
      <c r="A12" s="2" t="inlineStr">
        <is>
          <t>ebitda</t>
        </is>
      </c>
      <c r="B12" s="36" t="inlineStr">
        <is>
          <t>EBITDA (참고)</t>
        </is>
      </c>
      <c r="C12" t="n">
        <v>7</v>
      </c>
      <c r="D12" t="inlineStr">
        <is>
          <t>computed</t>
        </is>
      </c>
      <c r="E12" t="inlineStr"/>
      <c r="F12" t="n">
        <v>13</v>
      </c>
      <c r="G12" t="inlineStr">
        <is>
          <t>억원</t>
        </is>
      </c>
    </row>
    <row r="13">
      <c r="A13" s="2" t="inlineStr">
        <is>
          <t>net_income</t>
        </is>
      </c>
      <c r="B13" s="36" t="inlineStr">
        <is>
          <t>지배주주 순이익 (참고)</t>
        </is>
      </c>
      <c r="C13" t="n">
        <v>7</v>
      </c>
      <c r="D13" t="inlineStr">
        <is>
          <t>computed</t>
        </is>
      </c>
      <c r="E13" t="inlineStr"/>
      <c r="F13" t="n">
        <v>14</v>
      </c>
      <c r="G13" t="inlineStr">
        <is>
          <t>억원</t>
        </is>
      </c>
    </row>
    <row r="14">
      <c r="A14" s="2" t="inlineStr">
        <is>
          <t>ni_hist</t>
        </is>
      </c>
      <c r="B14" s="37" t="inlineStr">
        <is>
          <t>순이익 실적 마스크</t>
        </is>
      </c>
      <c r="C14" t="n">
        <v>8</v>
      </c>
      <c r="D14" t="inlineStr">
        <is>
          <t>input</t>
        </is>
      </c>
      <c r="E14" t="inlineStr"/>
      <c r="F14" t="n">
        <v>15</v>
      </c>
      <c r="G14" t="inlineStr"/>
    </row>
    <row r="15">
      <c r="A15" s="2" t="inlineStr">
        <is>
          <t>ni_actual</t>
        </is>
      </c>
      <c r="B15" s="37" t="inlineStr">
        <is>
          <t>순이익 실적</t>
        </is>
      </c>
      <c r="C15" t="n">
        <v>8</v>
      </c>
      <c r="D15" t="inlineStr">
        <is>
          <t>input</t>
        </is>
      </c>
      <c r="E15" t="inlineStr"/>
      <c r="F15" t="n">
        <v>16</v>
      </c>
      <c r="G15" t="inlineStr">
        <is>
          <t>억원</t>
        </is>
      </c>
    </row>
    <row r="16">
      <c r="A16" s="2" t="inlineStr">
        <is>
          <t>nonop</t>
        </is>
      </c>
      <c r="B16" s="37" t="inlineStr">
        <is>
          <t>영업외손익</t>
        </is>
      </c>
      <c r="C16" t="n">
        <v>8</v>
      </c>
      <c r="D16" t="inlineStr">
        <is>
          <t>input</t>
        </is>
      </c>
      <c r="E16" t="inlineStr"/>
      <c r="F16" t="n">
        <v>17</v>
      </c>
      <c r="G16" t="inlineStr">
        <is>
          <t>억원</t>
        </is>
      </c>
    </row>
    <row r="17">
      <c r="A17" s="2" t="inlineStr">
        <is>
          <t>ctrl_ratio</t>
        </is>
      </c>
      <c r="B17" s="37" t="inlineStr">
        <is>
          <t>지배지분 비율</t>
        </is>
      </c>
      <c r="C17" t="n">
        <v>8</v>
      </c>
      <c r="D17" t="inlineStr">
        <is>
          <t>input</t>
        </is>
      </c>
      <c r="E17" t="inlineStr"/>
      <c r="F17" t="n">
        <v>18</v>
      </c>
      <c r="G17" t="inlineStr">
        <is>
          <t>%</t>
        </is>
      </c>
    </row>
    <row r="18">
      <c r="A18" s="2" t="inlineStr">
        <is>
          <t>eps</t>
        </is>
      </c>
      <c r="B18" s="37" t="inlineStr">
        <is>
          <t>EPS (참고)</t>
        </is>
      </c>
      <c r="C18" t="n">
        <v>8</v>
      </c>
      <c r="D18" t="inlineStr">
        <is>
          <t>computed</t>
        </is>
      </c>
      <c r="E18" t="inlineStr"/>
      <c r="F18" t="n">
        <v>19</v>
      </c>
      <c r="G18" t="inlineStr">
        <is>
          <t>원</t>
        </is>
      </c>
    </row>
    <row r="19">
      <c r="A19" s="2" t="inlineStr">
        <is>
          <t>shares</t>
        </is>
      </c>
      <c r="B19" s="37" t="inlineStr">
        <is>
          <t>상장주식수</t>
        </is>
      </c>
      <c r="C19" t="n">
        <v>9</v>
      </c>
      <c r="D19" t="inlineStr">
        <is>
          <t>input</t>
        </is>
      </c>
      <c r="E19" t="inlineStr"/>
      <c r="F19" t="n">
        <v>20</v>
      </c>
      <c r="G19" t="inlineStr">
        <is>
          <t>백만주</t>
        </is>
      </c>
    </row>
    <row r="20">
      <c r="A20" s="2" t="inlineStr">
        <is>
          <t>dps</t>
        </is>
      </c>
      <c r="B20" s="37" t="inlineStr">
        <is>
          <t>DPS (참고)</t>
        </is>
      </c>
      <c r="C20" t="n">
        <v>9</v>
      </c>
      <c r="D20" t="inlineStr">
        <is>
          <t>computed</t>
        </is>
      </c>
      <c r="E20" t="inlineStr"/>
      <c r="F20" t="n">
        <v>21</v>
      </c>
      <c r="G20" t="inlineStr">
        <is>
          <t>원</t>
        </is>
      </c>
    </row>
    <row r="21">
      <c r="A21" s="2" t="inlineStr">
        <is>
          <t>dps_a</t>
        </is>
      </c>
      <c r="B21" s="37" t="inlineStr">
        <is>
          <t>DPS 실적</t>
        </is>
      </c>
      <c r="C21" t="n">
        <v>10</v>
      </c>
      <c r="D21" t="inlineStr">
        <is>
          <t>input</t>
        </is>
      </c>
      <c r="E21" t="inlineStr"/>
      <c r="F21" t="n">
        <v>22</v>
      </c>
      <c r="G21" t="inlineStr">
        <is>
          <t>원</t>
        </is>
      </c>
    </row>
    <row r="22">
      <c r="A22" s="2" t="inlineStr">
        <is>
          <t>payout</t>
        </is>
      </c>
      <c r="B22" s="37" t="inlineStr">
        <is>
          <t>배당성향</t>
        </is>
      </c>
      <c r="C22" t="n">
        <v>10</v>
      </c>
      <c r="D22" t="inlineStr">
        <is>
          <t>input</t>
        </is>
      </c>
      <c r="E22" t="inlineStr"/>
      <c r="F22" t="n">
        <v>23</v>
      </c>
      <c r="G22" t="inlineStr">
        <is>
          <t>%</t>
        </is>
      </c>
    </row>
    <row r="23">
      <c r="A23" s="2" t="inlineStr">
        <is>
          <t>total_cost</t>
        </is>
      </c>
      <c r="B23" s="36" t="inlineStr">
        <is>
          <t>총비용</t>
        </is>
      </c>
      <c r="C23" t="n">
        <v>7</v>
      </c>
      <c r="D23" t="inlineStr">
        <is>
          <t>computed</t>
        </is>
      </c>
      <c r="E23" t="inlineStr">
        <is>
          <t>Y</t>
        </is>
      </c>
      <c r="F23" t="n">
        <v>24</v>
      </c>
      <c r="G23" t="inlineStr">
        <is>
          <t>억원</t>
        </is>
      </c>
    </row>
    <row r="24">
      <c r="A24" s="2" t="inlineStr">
        <is>
          <t>dep_total</t>
        </is>
      </c>
      <c r="B24" s="37" t="inlineStr">
        <is>
          <t>감가상각비</t>
        </is>
      </c>
      <c r="C24" t="n">
        <v>8</v>
      </c>
      <c r="D24" t="inlineStr">
        <is>
          <t>computed</t>
        </is>
      </c>
      <c r="E24" t="inlineStr"/>
      <c r="F24" t="n">
        <v>25</v>
      </c>
      <c r="G24" t="inlineStr">
        <is>
          <t>억원</t>
        </is>
      </c>
    </row>
    <row r="25">
      <c r="A25" s="2" t="inlineStr">
        <is>
          <t>dep_actual</t>
        </is>
      </c>
      <c r="B25" s="37" t="inlineStr">
        <is>
          <t>감가상각비 실적</t>
        </is>
      </c>
      <c r="C25" t="n">
        <v>9</v>
      </c>
      <c r="D25" t="inlineStr">
        <is>
          <t>input</t>
        </is>
      </c>
      <c r="E25" t="inlineStr"/>
      <c r="F25" t="n">
        <v>26</v>
      </c>
      <c r="G25" t="inlineStr">
        <is>
          <t>억원</t>
        </is>
      </c>
    </row>
    <row r="26">
      <c r="A26" s="2" t="inlineStr">
        <is>
          <t>dep_g</t>
        </is>
      </c>
      <c r="B26" s="37" t="inlineStr">
        <is>
          <t>감가상각 증가율</t>
        </is>
      </c>
      <c r="C26" t="n">
        <v>9</v>
      </c>
      <c r="D26" t="inlineStr">
        <is>
          <t>input</t>
        </is>
      </c>
      <c r="E26" t="inlineStr"/>
      <c r="F26" t="n">
        <v>27</v>
      </c>
      <c r="G26" t="inlineStr">
        <is>
          <t>%</t>
        </is>
      </c>
    </row>
    <row r="27">
      <c r="A27" s="2" t="inlineStr">
        <is>
          <t>other_cost</t>
        </is>
      </c>
      <c r="B27" s="37" t="inlineStr">
        <is>
          <t>기타비용</t>
        </is>
      </c>
      <c r="C27" t="n">
        <v>8</v>
      </c>
      <c r="D27" t="inlineStr">
        <is>
          <t>computed</t>
        </is>
      </c>
      <c r="E27" t="inlineStr"/>
      <c r="F27" t="n">
        <v>28</v>
      </c>
      <c r="G27" t="inlineStr">
        <is>
          <t>억원</t>
        </is>
      </c>
    </row>
    <row r="28">
      <c r="A28" s="2" t="inlineStr">
        <is>
          <t>other_actual</t>
        </is>
      </c>
      <c r="B28" s="37" t="inlineStr">
        <is>
          <t>기타비용 실적</t>
        </is>
      </c>
      <c r="C28" t="n">
        <v>9</v>
      </c>
      <c r="D28" t="inlineStr">
        <is>
          <t>input</t>
        </is>
      </c>
      <c r="E28" t="inlineStr"/>
      <c r="F28" t="n">
        <v>29</v>
      </c>
      <c r="G28" t="inlineStr">
        <is>
          <t>억원</t>
        </is>
      </c>
    </row>
    <row r="29">
      <c r="A29" s="2" t="inlineStr">
        <is>
          <t>other_ratio</t>
        </is>
      </c>
      <c r="B29" s="37" t="inlineStr">
        <is>
          <t>기타비용률</t>
        </is>
      </c>
      <c r="C29" t="n">
        <v>9</v>
      </c>
      <c r="D29" t="inlineStr">
        <is>
          <t>input</t>
        </is>
      </c>
      <c r="E29" t="inlineStr"/>
      <c r="F29" t="n">
        <v>30</v>
      </c>
      <c r="G29" t="inlineStr">
        <is>
          <t>%</t>
        </is>
      </c>
    </row>
    <row r="30">
      <c r="A30" s="2" t="inlineStr">
        <is>
          <t>total_revenue</t>
        </is>
      </c>
      <c r="B30" s="36" t="inlineStr">
        <is>
          <t>총매출</t>
        </is>
      </c>
      <c r="C30" t="n">
        <v>7</v>
      </c>
      <c r="D30" t="inlineStr">
        <is>
          <t>computed</t>
        </is>
      </c>
      <c r="E30" t="inlineStr">
        <is>
          <t>Y</t>
        </is>
      </c>
      <c r="F30" t="n">
        <v>31</v>
      </c>
      <c r="G30" t="inlineStr">
        <is>
          <t>억원</t>
        </is>
      </c>
    </row>
    <row r="31">
      <c r="A31" s="2" t="inlineStr">
        <is>
          <t>tobacco</t>
        </is>
      </c>
      <c r="B31" s="37" t="inlineStr">
        <is>
          <t>담배</t>
        </is>
      </c>
      <c r="C31" t="n">
        <v>8</v>
      </c>
      <c r="D31" t="inlineStr">
        <is>
          <t>computed</t>
        </is>
      </c>
      <c r="E31" t="inlineStr"/>
      <c r="F31" t="n">
        <v>32</v>
      </c>
      <c r="G31" t="inlineStr">
        <is>
          <t>억원</t>
        </is>
      </c>
    </row>
    <row r="32">
      <c r="A32" s="2" t="inlineStr">
        <is>
          <t>tob_actual</t>
        </is>
      </c>
      <c r="B32" s="37" t="inlineStr">
        <is>
          <t>담배 실적</t>
        </is>
      </c>
      <c r="C32" t="n">
        <v>9</v>
      </c>
      <c r="D32" t="inlineStr">
        <is>
          <t>input</t>
        </is>
      </c>
      <c r="E32" t="inlineStr"/>
      <c r="F32" t="n">
        <v>33</v>
      </c>
      <c r="G32" t="inlineStr">
        <is>
          <t>억원</t>
        </is>
      </c>
    </row>
    <row r="33">
      <c r="A33" s="2" t="inlineStr">
        <is>
          <t>tob_g</t>
        </is>
      </c>
      <c r="B33" s="37" t="inlineStr">
        <is>
          <t>담배 성장률</t>
        </is>
      </c>
      <c r="C33" t="n">
        <v>9</v>
      </c>
      <c r="D33" t="inlineStr">
        <is>
          <t>input</t>
        </is>
      </c>
      <c r="E33" t="inlineStr"/>
      <c r="F33" t="n">
        <v>34</v>
      </c>
      <c r="G33" t="inlineStr">
        <is>
          <t>%</t>
        </is>
      </c>
    </row>
    <row r="34">
      <c r="A34" s="2" t="inlineStr">
        <is>
          <t>ginseng</t>
        </is>
      </c>
      <c r="B34" s="37" t="inlineStr">
        <is>
          <t>인삼 (KGC)</t>
        </is>
      </c>
      <c r="C34" t="n">
        <v>8</v>
      </c>
      <c r="D34" t="inlineStr">
        <is>
          <t>computed</t>
        </is>
      </c>
      <c r="E34" t="inlineStr"/>
      <c r="F34" t="n">
        <v>35</v>
      </c>
      <c r="G34" t="inlineStr">
        <is>
          <t>억원</t>
        </is>
      </c>
    </row>
    <row r="35">
      <c r="A35" s="2" t="inlineStr">
        <is>
          <t>gin_actual</t>
        </is>
      </c>
      <c r="B35" s="37" t="inlineStr">
        <is>
          <t>인삼 실적</t>
        </is>
      </c>
      <c r="C35" t="n">
        <v>9</v>
      </c>
      <c r="D35" t="inlineStr">
        <is>
          <t>input</t>
        </is>
      </c>
      <c r="E35" t="inlineStr"/>
      <c r="F35" t="n">
        <v>36</v>
      </c>
      <c r="G35" t="inlineStr">
        <is>
          <t>억원</t>
        </is>
      </c>
    </row>
    <row r="36">
      <c r="A36" s="2" t="inlineStr">
        <is>
          <t>gin_g</t>
        </is>
      </c>
      <c r="B36" s="37" t="inlineStr">
        <is>
          <t>인삼 성장률</t>
        </is>
      </c>
      <c r="C36" t="n">
        <v>9</v>
      </c>
      <c r="D36" t="inlineStr">
        <is>
          <t>input</t>
        </is>
      </c>
      <c r="E36" t="inlineStr"/>
      <c r="F36" t="n">
        <v>37</v>
      </c>
      <c r="G36" t="inlineStr">
        <is>
          <t>%</t>
        </is>
      </c>
    </row>
    <row r="37">
      <c r="A37" s="2" t="inlineStr">
        <is>
          <t>estate</t>
        </is>
      </c>
      <c r="B37" s="37" t="inlineStr">
        <is>
          <t>부동산</t>
        </is>
      </c>
      <c r="C37" t="n">
        <v>8</v>
      </c>
      <c r="D37" t="inlineStr">
        <is>
          <t>computed</t>
        </is>
      </c>
      <c r="E37" t="inlineStr"/>
      <c r="F37" t="n">
        <v>38</v>
      </c>
      <c r="G37" t="inlineStr">
        <is>
          <t>억원</t>
        </is>
      </c>
    </row>
    <row r="38">
      <c r="A38" s="2" t="inlineStr">
        <is>
          <t>est_actual</t>
        </is>
      </c>
      <c r="B38" s="37" t="inlineStr">
        <is>
          <t>부동산 실적</t>
        </is>
      </c>
      <c r="C38" t="n">
        <v>9</v>
      </c>
      <c r="D38" t="inlineStr">
        <is>
          <t>input</t>
        </is>
      </c>
      <c r="E38" t="inlineStr"/>
      <c r="F38" t="n">
        <v>39</v>
      </c>
      <c r="G38" t="inlineStr">
        <is>
          <t>억원</t>
        </is>
      </c>
    </row>
    <row r="39">
      <c r="A39" s="2" t="inlineStr">
        <is>
          <t>est_g</t>
        </is>
      </c>
      <c r="B39" s="37" t="inlineStr">
        <is>
          <t>부동산 성장률</t>
        </is>
      </c>
      <c r="C39" t="n">
        <v>9</v>
      </c>
      <c r="D39" t="inlineStr">
        <is>
          <t>input</t>
        </is>
      </c>
      <c r="E39" t="inlineStr"/>
      <c r="F39" t="n">
        <v>40</v>
      </c>
      <c r="G39" t="inlineStr">
        <is>
          <t>%</t>
        </is>
      </c>
    </row>
    <row r="40">
      <c r="A40" s="2" t="inlineStr">
        <is>
          <t>etc</t>
        </is>
      </c>
      <c r="B40" s="37" t="inlineStr">
        <is>
          <t>기타</t>
        </is>
      </c>
      <c r="C40" t="n">
        <v>8</v>
      </c>
      <c r="D40" t="inlineStr">
        <is>
          <t>computed</t>
        </is>
      </c>
      <c r="E40" t="inlineStr"/>
      <c r="F40" t="n">
        <v>41</v>
      </c>
      <c r="G40" t="inlineStr">
        <is>
          <t>억원</t>
        </is>
      </c>
    </row>
    <row r="41">
      <c r="A41" s="2" t="inlineStr">
        <is>
          <t>etc_actual</t>
        </is>
      </c>
      <c r="B41" s="37" t="inlineStr">
        <is>
          <t>기타 실적</t>
        </is>
      </c>
      <c r="C41" t="n">
        <v>9</v>
      </c>
      <c r="D41" t="inlineStr">
        <is>
          <t>input</t>
        </is>
      </c>
      <c r="E41" t="inlineStr"/>
      <c r="F41" t="n">
        <v>42</v>
      </c>
      <c r="G41" t="inlineStr">
        <is>
          <t>억원</t>
        </is>
      </c>
    </row>
    <row r="42">
      <c r="A42" s="2" t="inlineStr">
        <is>
          <t>etc_g</t>
        </is>
      </c>
      <c r="B42" s="37" t="inlineStr">
        <is>
          <t>기타 성장률</t>
        </is>
      </c>
      <c r="C42" t="n">
        <v>9</v>
      </c>
      <c r="D42" t="inlineStr">
        <is>
          <t>input</t>
        </is>
      </c>
      <c r="E42" t="inlineStr"/>
      <c r="F42" t="n">
        <v>43</v>
      </c>
      <c r="G42" t="inlineStr">
        <is>
          <t>%</t>
        </is>
      </c>
    </row>
    <row r="43">
      <c r="A43" s="2" t="inlineStr">
        <is>
          <t>capex</t>
        </is>
      </c>
      <c r="B43" s="34" t="inlineStr">
        <is>
          <t>CAPEX</t>
        </is>
      </c>
      <c r="C43" t="n">
        <v>5</v>
      </c>
      <c r="D43" t="inlineStr">
        <is>
          <t>computed</t>
        </is>
      </c>
      <c r="E43" t="inlineStr"/>
      <c r="F43" t="n">
        <v>44</v>
      </c>
      <c r="G43" t="inlineStr">
        <is>
          <t>억원</t>
        </is>
      </c>
    </row>
    <row r="44">
      <c r="A44" s="2" t="inlineStr">
        <is>
          <t>capex_actual</t>
        </is>
      </c>
      <c r="B44" s="35" t="inlineStr">
        <is>
          <t>CAPEX 실적</t>
        </is>
      </c>
      <c r="C44" t="n">
        <v>6</v>
      </c>
      <c r="D44" t="inlineStr">
        <is>
          <t>input</t>
        </is>
      </c>
      <c r="E44" t="inlineStr"/>
      <c r="F44" t="n">
        <v>45</v>
      </c>
      <c r="G44" t="inlineStr">
        <is>
          <t>억원</t>
        </is>
      </c>
    </row>
    <row r="45">
      <c r="A45" s="2" t="inlineStr">
        <is>
          <t>capex_ratio</t>
        </is>
      </c>
      <c r="B45" s="35" t="inlineStr">
        <is>
          <t>CAPEX 비율</t>
        </is>
      </c>
      <c r="C45" t="n">
        <v>6</v>
      </c>
      <c r="D45" t="inlineStr">
        <is>
          <t>input</t>
        </is>
      </c>
      <c r="E45" t="inlineStr"/>
      <c r="F45" t="n">
        <v>46</v>
      </c>
      <c r="G45" t="inlineStr">
        <is>
          <t>%</t>
        </is>
      </c>
    </row>
    <row r="46">
      <c r="A46" s="2" t="inlineStr">
        <is>
          <t>df</t>
        </is>
      </c>
      <c r="B46" s="33" t="inlineStr">
        <is>
          <t>할인계수</t>
        </is>
      </c>
      <c r="C46" t="n">
        <v>4</v>
      </c>
      <c r="D46" t="inlineStr">
        <is>
          <t>computed</t>
        </is>
      </c>
      <c r="E46" t="inlineStr"/>
      <c r="F46" t="n">
        <v>47</v>
      </c>
      <c r="G46" t="inlineStr">
        <is>
          <t>배</t>
        </is>
      </c>
    </row>
    <row r="47">
      <c r="A47" s="2" t="inlineStr">
        <is>
          <t>df_hist</t>
        </is>
      </c>
      <c r="B47" s="34" t="inlineStr">
        <is>
          <t>실적 구간 표시</t>
        </is>
      </c>
      <c r="C47" t="n">
        <v>5</v>
      </c>
      <c r="D47" t="inlineStr">
        <is>
          <t>input</t>
        </is>
      </c>
      <c r="E47" t="inlineStr"/>
      <c r="F47" t="n">
        <v>48</v>
      </c>
      <c r="G47" t="inlineStr"/>
    </row>
    <row r="48">
      <c r="A48" s="2" t="inlineStr">
        <is>
          <t>wacc</t>
        </is>
      </c>
      <c r="B48" s="34" t="inlineStr">
        <is>
          <t>WACC</t>
        </is>
      </c>
      <c r="C48" t="n">
        <v>5</v>
      </c>
      <c r="D48" t="inlineStr">
        <is>
          <t>input</t>
        </is>
      </c>
      <c r="E48" t="inlineStr"/>
      <c r="F48" t="n">
        <v>49</v>
      </c>
      <c r="G48" t="inlineStr">
        <is>
          <t>%</t>
        </is>
      </c>
    </row>
    <row r="49">
      <c r="A49" s="2" t="inlineStr">
        <is>
          <t>tv_pv</t>
        </is>
      </c>
      <c r="B49" s="31" t="inlineStr">
        <is>
          <t>잔존가치 PV</t>
        </is>
      </c>
      <c r="C49" t="n">
        <v>2</v>
      </c>
      <c r="D49" t="inlineStr">
        <is>
          <t>computed</t>
        </is>
      </c>
      <c r="E49" t="inlineStr"/>
      <c r="F49" t="n">
        <v>50</v>
      </c>
      <c r="G49" t="inlineStr">
        <is>
          <t>억원</t>
        </is>
      </c>
    </row>
    <row r="50">
      <c r="A50" s="2" t="inlineStr">
        <is>
          <t>tv_growth</t>
        </is>
      </c>
      <c r="B50" s="32" t="inlineStr">
        <is>
          <t>영구성장률</t>
        </is>
      </c>
      <c r="C50" t="n">
        <v>3</v>
      </c>
      <c r="D50" t="inlineStr">
        <is>
          <t>input</t>
        </is>
      </c>
      <c r="E50" t="inlineStr"/>
      <c r="F50" t="n">
        <v>51</v>
      </c>
      <c r="G50" t="inlineStr">
        <is>
          <t>%</t>
        </is>
      </c>
    </row>
    <row r="51">
      <c r="A51" s="2" t="inlineStr">
        <is>
          <t>net_debt</t>
        </is>
      </c>
      <c r="B51" s="30" t="inlineStr">
        <is>
          <t>순차입금</t>
        </is>
      </c>
      <c r="C51" t="n">
        <v>1</v>
      </c>
      <c r="D51" t="inlineStr">
        <is>
          <t>input</t>
        </is>
      </c>
      <c r="E51" t="inlineStr"/>
      <c r="F51" t="n">
        <v>52</v>
      </c>
      <c r="G51" t="inlineStr">
        <is>
          <t>억원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검증</t>
        </is>
      </c>
    </row>
    <row r="2">
      <c r="A2" s="2" t="inlineStr">
        <is>
          <t>합계형 노드의 부모값과 자식 합의 차이. 전 칸이 0이어야 한다.</t>
        </is>
      </c>
    </row>
    <row r="3">
      <c r="D3" s="6" t="inlineStr">
        <is>
          <t>실적</t>
        </is>
      </c>
      <c r="E3" s="6" t="inlineStr">
        <is>
          <t>실적</t>
        </is>
      </c>
      <c r="F3" s="6" t="inlineStr">
        <is>
          <t>실적</t>
        </is>
      </c>
      <c r="G3" s="6" t="inlineStr">
        <is>
          <t>실적</t>
        </is>
      </c>
      <c r="H3" s="7" t="inlineStr">
        <is>
          <t>추정</t>
        </is>
      </c>
      <c r="I3" s="7" t="inlineStr">
        <is>
          <t>추정</t>
        </is>
      </c>
      <c r="J3" s="7" t="inlineStr">
        <is>
          <t>추정</t>
        </is>
      </c>
      <c r="K3" s="7" t="inlineStr">
        <is>
          <t>추정</t>
        </is>
      </c>
      <c r="L3" s="7" t="inlineStr">
        <is>
          <t>추정</t>
        </is>
      </c>
    </row>
    <row r="4">
      <c r="A4" s="3" t="inlineStr">
        <is>
          <t>계정</t>
        </is>
      </c>
      <c r="B4" s="3" t="inlineStr">
        <is>
          <t>검사</t>
        </is>
      </c>
      <c r="D4" s="8" t="inlineStr">
        <is>
          <t>2022A</t>
        </is>
      </c>
      <c r="E4" s="8" t="inlineStr">
        <is>
          <t>2023A</t>
        </is>
      </c>
      <c r="F4" s="8" t="inlineStr">
        <is>
          <t>2024A</t>
        </is>
      </c>
      <c r="G4" s="8" t="inlineStr">
        <is>
          <t>2025A</t>
        </is>
      </c>
      <c r="H4" s="8" t="inlineStr">
        <is>
          <t>2026E</t>
        </is>
      </c>
      <c r="I4" s="8" t="inlineStr">
        <is>
          <t>2027E</t>
        </is>
      </c>
      <c r="J4" s="8" t="inlineStr">
        <is>
          <t>2028E</t>
        </is>
      </c>
      <c r="K4" s="8" t="inlineStr">
        <is>
          <t>2029E</t>
        </is>
      </c>
      <c r="L4" s="8" t="inlineStr">
        <is>
          <t>2030E</t>
        </is>
      </c>
    </row>
    <row r="5">
      <c r="A5" s="5" t="inlineStr">
        <is>
          <t>기업가치 (EV)</t>
        </is>
      </c>
      <c r="B5" s="2" t="inlineStr">
        <is>
          <t>부모 − 자식합</t>
        </is>
      </c>
      <c r="D5" s="38">
        <f>ROUND(Model!D6-(Model!D7+Model!D50),6)</f>
        <v/>
      </c>
      <c r="E5" s="38">
        <f>ROUND(Model!E6-(Model!E7+Model!E50),6)</f>
        <v/>
      </c>
      <c r="F5" s="38">
        <f>ROUND(Model!F6-(Model!F7+Model!F50),6)</f>
        <v/>
      </c>
      <c r="G5" s="38">
        <f>ROUND(Model!G6-(Model!G7+Model!G50),6)</f>
        <v/>
      </c>
      <c r="H5" s="38">
        <f>ROUND(Model!H6-(Model!H7+Model!H50),6)</f>
        <v/>
      </c>
      <c r="I5" s="38">
        <f>ROUND(Model!I6-(Model!I7+Model!I50),6)</f>
        <v/>
      </c>
      <c r="J5" s="38">
        <f>ROUND(Model!J6-(Model!J7+Model!J50),6)</f>
        <v/>
      </c>
      <c r="K5" s="38">
        <f>ROUND(Model!K6-(Model!K7+Model!K50),6)</f>
        <v/>
      </c>
      <c r="L5" s="38">
        <f>ROUND(Model!L6-(Model!L7+Model!L50),6)</f>
        <v/>
      </c>
    </row>
    <row r="6">
      <c r="A6" s="5" t="inlineStr">
        <is>
          <t>총비용</t>
        </is>
      </c>
      <c r="B6" s="2" t="inlineStr">
        <is>
          <t>부모 − 자식합</t>
        </is>
      </c>
      <c r="D6" s="38">
        <f>ROUND(Model!D24-(Model!D25+Model!D28),6)</f>
        <v/>
      </c>
      <c r="E6" s="38">
        <f>ROUND(Model!E24-(Model!E25+Model!E28),6)</f>
        <v/>
      </c>
      <c r="F6" s="38">
        <f>ROUND(Model!F24-(Model!F25+Model!F28),6)</f>
        <v/>
      </c>
      <c r="G6" s="38">
        <f>ROUND(Model!G24-(Model!G25+Model!G28),6)</f>
        <v/>
      </c>
      <c r="H6" s="38">
        <f>ROUND(Model!H24-(Model!H25+Model!H28),6)</f>
        <v/>
      </c>
      <c r="I6" s="38">
        <f>ROUND(Model!I24-(Model!I25+Model!I28),6)</f>
        <v/>
      </c>
      <c r="J6" s="38">
        <f>ROUND(Model!J24-(Model!J25+Model!J28),6)</f>
        <v/>
      </c>
      <c r="K6" s="38">
        <f>ROUND(Model!K24-(Model!K25+Model!K28),6)</f>
        <v/>
      </c>
      <c r="L6" s="38">
        <f>ROUND(Model!L24-(Model!L25+Model!L28),6)</f>
        <v/>
      </c>
    </row>
    <row r="7">
      <c r="A7" s="5" t="inlineStr">
        <is>
          <t>총매출</t>
        </is>
      </c>
      <c r="B7" s="2" t="inlineStr">
        <is>
          <t>부모 − 자식합</t>
        </is>
      </c>
      <c r="D7" s="38">
        <f>ROUND(Model!D31-(Model!D32+Model!D35+Model!D38+Model!D41),6)</f>
        <v/>
      </c>
      <c r="E7" s="38">
        <f>ROUND(Model!E31-(Model!E32+Model!E35+Model!E38+Model!E41),6)</f>
        <v/>
      </c>
      <c r="F7" s="38">
        <f>ROUND(Model!F31-(Model!F32+Model!F35+Model!F38+Model!F41),6)</f>
        <v/>
      </c>
      <c r="G7" s="38">
        <f>ROUND(Model!G31-(Model!G32+Model!G35+Model!G38+Model!G41),6)</f>
        <v/>
      </c>
      <c r="H7" s="38">
        <f>ROUND(Model!H31-(Model!H32+Model!H35+Model!H38+Model!H41),6)</f>
        <v/>
      </c>
      <c r="I7" s="38">
        <f>ROUND(Model!I31-(Model!I32+Model!I35+Model!I38+Model!I41),6)</f>
        <v/>
      </c>
      <c r="J7" s="38">
        <f>ROUND(Model!J31-(Model!J32+Model!J35+Model!J38+Model!J41),6)</f>
        <v/>
      </c>
      <c r="K7" s="38">
        <f>ROUND(Model!K31-(Model!K32+Model!K35+Model!K38+Model!K41),6)</f>
        <v/>
      </c>
      <c r="L7" s="38">
        <f>ROUND(Model!L31-(Model!L32+Model!L35+Model!L38+Model!L41),6)</f>
        <v/>
      </c>
    </row>
    <row r="9">
      <c r="A9" s="4" t="inlineStr">
        <is>
          <t>합계형 노드 수</t>
        </is>
      </c>
      <c r="B9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빌드 정보</t>
        </is>
      </c>
    </row>
    <row r="3">
      <c r="A3" s="4" t="inlineStr">
        <is>
          <t>소스</t>
        </is>
      </c>
      <c r="B3" t="inlineStr">
        <is>
          <t>model.html</t>
        </is>
      </c>
    </row>
    <row r="4">
      <c r="A4" s="4" t="inlineStr">
        <is>
          <t>소스 해시 (sha256 앞 16자리)</t>
        </is>
      </c>
      <c r="B4" t="inlineStr">
        <is>
          <t>d05b62086640f711</t>
        </is>
      </c>
    </row>
    <row r="5">
      <c r="A5" s="4" t="inlineStr">
        <is>
          <t>빌더</t>
        </is>
      </c>
      <c r="B5" t="inlineStr">
        <is>
          <t>tools/build_excel.py</t>
        </is>
      </c>
    </row>
    <row r="6">
      <c r="A6" s="4" t="inlineStr">
        <is>
          <t>수식 변환</t>
        </is>
      </c>
      <c r="B6" t="inlineStr">
        <is>
          <t>엔진 astToExcel (JS) — 파이썬은 배치만 한다</t>
        </is>
      </c>
    </row>
    <row r="7">
      <c r="A7" s="4" t="inlineStr">
        <is>
          <t>노드 수</t>
        </is>
      </c>
      <c r="B7" t="n">
        <v>48</v>
      </c>
    </row>
    <row r="8">
      <c r="A8" s="4" t="inlineStr">
        <is>
          <t>입력 노드 수</t>
        </is>
      </c>
      <c r="B8" t="n">
        <v>26</v>
      </c>
    </row>
    <row r="9">
      <c r="A9" s="4" t="inlineStr">
        <is>
          <t>연도 수</t>
        </is>
      </c>
      <c r="B9" t="n">
        <v>9</v>
      </c>
    </row>
    <row r="10">
      <c r="A10" s="4" t="inlineStr">
        <is>
          <t>HIST_N</t>
        </is>
      </c>
      <c r="B10" t="n">
        <v>4</v>
      </c>
    </row>
    <row r="11">
      <c r="A11" s="4" t="inlineStr">
        <is>
          <t>모델 id</t>
        </is>
      </c>
      <c r="B11" t="inlineStr">
        <is>
          <t>ktg_dcf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tools/build_excel.py</dc:creator>
  <dcterms:created xsi:type="dcterms:W3CDTF">2000-01-01T00:00:00Z</dcterms:created>
  <dcterms:modified xsi:type="dcterms:W3CDTF">2000-01-01T00:00:00Z</dcterms:modified>
</cp:coreProperties>
</file>
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(D6-D42)</f>
        <v/>
      </c>
      <c r="E5" s="14">
        <f>(E6-E42)</f>
        <v/>
      </c>
      <c r="F5" s="14">
        <f>(F6-F42)</f>
        <v/>
      </c>
      <c r="G5" s="14">
        <f>(G6-G42)</f>
        <v/>
      </c>
      <c r="H5" s="14">
        <f>(H6-H42)</f>
        <v/>
      </c>
      <c r="I5" s="14">
        <f>(I6-I42)</f>
        <v/>
      </c>
      <c r="J5" s="14">
        <f>(J6-J42)</f>
        <v/>
      </c>
      <c r="K5" s="14">
        <f>(K6-K42)</f>
        <v/>
      </c>
      <c r="L5" s="14">
        <f>(L6-L42)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(D7+D40)</f>
        <v/>
      </c>
      <c r="E6" s="16">
        <f>(E7+E40)</f>
        <v/>
      </c>
      <c r="F6" s="16">
        <f>(F7+F40)</f>
        <v/>
      </c>
      <c r="G6" s="16">
        <f>(G7+G40)</f>
        <v/>
      </c>
      <c r="H6" s="17">
        <f>(H7+H40)</f>
        <v/>
      </c>
      <c r="I6" s="17">
        <f>(I7+I40)</f>
        <v/>
      </c>
      <c r="J6" s="17">
        <f>(J7+J40)</f>
        <v/>
      </c>
      <c r="K6" s="17">
        <f>(K7+K40)</f>
        <v/>
      </c>
      <c r="L6" s="17">
        <f>(L7+L40)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(0+(D8*(1-D38)))</f>
        <v/>
      </c>
      <c r="E7" s="16">
        <f>(D7+(E8*(1-E38)))</f>
        <v/>
      </c>
      <c r="F7" s="16">
        <f>(E7+(F8*(1-F38)))</f>
        <v/>
      </c>
      <c r="G7" s="16">
        <f>(F7+(G8*(1-G38)))</f>
        <v/>
      </c>
      <c r="H7" s="17">
        <f>(G7+(H8*(1-H38)))</f>
        <v/>
      </c>
      <c r="I7" s="17">
        <f>(H7+(I8*(1-I38)))</f>
        <v/>
      </c>
      <c r="J7" s="17">
        <f>(I7+(J8*(1-J38)))</f>
        <v/>
      </c>
      <c r="K7" s="17">
        <f>(J7+(K8*(1-K38)))</f>
        <v/>
      </c>
      <c r="L7" s="17">
        <f>(K7+(L8*(1-L38)))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(D9*D37)</f>
        <v/>
      </c>
      <c r="E8" s="16">
        <f>(E9*E37)</f>
        <v/>
      </c>
      <c r="F8" s="16">
        <f>(F9*F37)</f>
        <v/>
      </c>
      <c r="G8" s="16">
        <f>(G9*G37)</f>
        <v/>
      </c>
      <c r="H8" s="17">
        <f>(H9*H37)</f>
        <v/>
      </c>
      <c r="I8" s="17">
        <f>(I9*I37)</f>
        <v/>
      </c>
      <c r="J8" s="17">
        <f>(J9*J37)</f>
        <v/>
      </c>
      <c r="K8" s="17">
        <f>(K9*K37)</f>
        <v/>
      </c>
      <c r="L8" s="17">
        <f>(L9*L37)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((D10+D15)-D34)</f>
        <v/>
      </c>
      <c r="E9" s="16">
        <f>((E10+E15)-E34)</f>
        <v/>
      </c>
      <c r="F9" s="16">
        <f>((F10+F15)-F34)</f>
        <v/>
      </c>
      <c r="G9" s="16">
        <f>((G10+G15)-G34)</f>
        <v/>
      </c>
      <c r="H9" s="17">
        <f>((H10+H15)-H34)</f>
        <v/>
      </c>
      <c r="I9" s="17">
        <f>((I10+I15)-I34)</f>
        <v/>
      </c>
      <c r="J9" s="17">
        <f>((J10+J15)-J34)</f>
        <v/>
      </c>
      <c r="K9" s="17">
        <f>((K10+K15)-K34)</f>
        <v/>
      </c>
      <c r="L9" s="17">
        <f>((L10+L15)-L34)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(D21-D14)</f>
        <v/>
      </c>
      <c r="E12" s="16">
        <f>(E21-E14)</f>
        <v/>
      </c>
      <c r="F12" s="16">
        <f>(F21-F14)</f>
        <v/>
      </c>
      <c r="G12" s="16">
        <f>(G21-G14)</f>
        <v/>
      </c>
      <c r="H12" s="17">
        <f>(H21-H14)</f>
        <v/>
      </c>
      <c r="I12" s="17">
        <f>(I21-I14)</f>
        <v/>
      </c>
      <c r="J12" s="17">
        <f>(J21-J14)</f>
        <v/>
      </c>
      <c r="K12" s="17">
        <f>(K21-K14)</f>
        <v/>
      </c>
      <c r="L12" s="17">
        <f>(L21-L14)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(D12+D15)</f>
        <v/>
      </c>
      <c r="E13" s="16">
        <f>(E12+E15)</f>
        <v/>
      </c>
      <c r="F13" s="16">
        <f>(F12+F15)</f>
        <v/>
      </c>
      <c r="G13" s="16">
        <f>(G12+G15)</f>
        <v/>
      </c>
      <c r="H13" s="17">
        <f>(H12+H15)</f>
        <v/>
      </c>
      <c r="I13" s="17">
        <f>(I12+I15)</f>
        <v/>
      </c>
      <c r="J13" s="17">
        <f>(J12+J15)</f>
        <v/>
      </c>
      <c r="K13" s="17">
        <f>(K12+K15)</f>
        <v/>
      </c>
      <c r="L13" s="17">
        <f>(L12+L15)</f>
        <v/>
      </c>
    </row>
    <row r="14">
      <c r="A14" s="25" t="inlineStr">
        <is>
          <t>총비용</t>
        </is>
      </c>
      <c r="B14" s="2" t="inlineStr">
        <is>
          <t>total_cost</t>
        </is>
      </c>
      <c r="C14" s="2" t="inlineStr">
        <is>
          <t>억원</t>
        </is>
      </c>
      <c r="D14" s="16">
        <f>(D15+D18)</f>
        <v/>
      </c>
      <c r="E14" s="16">
        <f>(E15+E18)</f>
        <v/>
      </c>
      <c r="F14" s="16">
        <f>(F15+F18)</f>
        <v/>
      </c>
      <c r="G14" s="16">
        <f>(G15+G18)</f>
        <v/>
      </c>
      <c r="H14" s="17">
        <f>(H15+H18)</f>
        <v/>
      </c>
      <c r="I14" s="17">
        <f>(I15+I18)</f>
        <v/>
      </c>
      <c r="J14" s="17">
        <f>(J15+J18)</f>
        <v/>
      </c>
      <c r="K14" s="17">
        <f>(K15+K18)</f>
        <v/>
      </c>
      <c r="L14" s="17">
        <f>(L15+L18)</f>
        <v/>
      </c>
    </row>
    <row r="15">
      <c r="A15" s="26" t="inlineStr">
        <is>
          <t>감가상각비</t>
        </is>
      </c>
      <c r="B15" s="2" t="inlineStr">
        <is>
          <t>dep_total</t>
        </is>
      </c>
      <c r="C15" s="2" t="inlineStr">
        <is>
          <t>억원</t>
        </is>
      </c>
      <c r="D15" s="16">
        <f>IF((D16&gt;0),D16,(0*(1+D17)))</f>
        <v/>
      </c>
      <c r="E15" s="16">
        <f>IF((E16&gt;0),E16,(D15*(1+E17)))</f>
        <v/>
      </c>
      <c r="F15" s="16">
        <f>IF((F16&gt;0),F16,(E15*(1+F17)))</f>
        <v/>
      </c>
      <c r="G15" s="16">
        <f>IF((G16&gt;0),G16,(F15*(1+G17)))</f>
        <v/>
      </c>
      <c r="H15" s="17">
        <f>IF((H16&gt;0),H16,(G15*(1+H17)))</f>
        <v/>
      </c>
      <c r="I15" s="17">
        <f>IF((I16&gt;0),I16,(H15*(1+I17)))</f>
        <v/>
      </c>
      <c r="J15" s="17">
        <f>IF((J16&gt;0),J16,(I15*(1+J17)))</f>
        <v/>
      </c>
      <c r="K15" s="17">
        <f>IF((K16&gt;0),K16,(J15*(1+K17)))</f>
        <v/>
      </c>
      <c r="L15" s="17">
        <f>IF((L16&gt;0),L16,(K15*(1+L17)))</f>
        <v/>
      </c>
    </row>
    <row r="16">
      <c r="A16" s="26" t="inlineStr">
        <is>
          <t>감가상각비 실적</t>
        </is>
      </c>
      <c r="B16" s="2" t="inlineStr">
        <is>
          <t>dep_actual</t>
        </is>
      </c>
      <c r="C16" s="2" t="inlineStr">
        <is>
          <t>억원</t>
        </is>
      </c>
      <c r="D16" s="27" t="n">
        <v>2341</v>
      </c>
      <c r="E16" s="27" t="n">
        <v>2515</v>
      </c>
      <c r="F16" s="27" t="n">
        <v>2626</v>
      </c>
      <c r="G16" s="27" t="n">
        <v>3043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감가상각 증가율</t>
        </is>
      </c>
      <c r="B17" s="2" t="inlineStr">
        <is>
          <t>dep_g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4" t="n">
        <v>0.09</v>
      </c>
      <c r="I17" s="24" t="n">
        <v>0.07000000000000001</v>
      </c>
      <c r="J17" s="24" t="n">
        <v>0.05</v>
      </c>
      <c r="K17" s="24" t="n">
        <v>0.04</v>
      </c>
      <c r="L17" s="24" t="n">
        <v>0.03</v>
      </c>
    </row>
    <row r="18">
      <c r="A18" s="26" t="inlineStr">
        <is>
          <t>기타비용</t>
        </is>
      </c>
      <c r="B18" s="2" t="inlineStr">
        <is>
          <t>other_cost</t>
        </is>
      </c>
      <c r="C18" s="2" t="inlineStr">
        <is>
          <t>억원</t>
        </is>
      </c>
      <c r="D18" s="16">
        <f>IF((D19&gt;0),D19,(D21*D20))</f>
        <v/>
      </c>
      <c r="E18" s="16">
        <f>IF((E19&gt;0),E19,(E21*E20))</f>
        <v/>
      </c>
      <c r="F18" s="16">
        <f>IF((F19&gt;0),F19,(F21*F20))</f>
        <v/>
      </c>
      <c r="G18" s="16">
        <f>IF((G19&gt;0),G19,(G21*G20))</f>
        <v/>
      </c>
      <c r="H18" s="17">
        <f>IF((H19&gt;0),H19,(H21*H20))</f>
        <v/>
      </c>
      <c r="I18" s="17">
        <f>IF((I19&gt;0),I19,(I21*I20))</f>
        <v/>
      </c>
      <c r="J18" s="17">
        <f>IF((J19&gt;0),J19,(J21*J20))</f>
        <v/>
      </c>
      <c r="K18" s="17">
        <f>IF((K19&gt;0),K19,(K21*K20))</f>
        <v/>
      </c>
      <c r="L18" s="17">
        <f>IF((L19&gt;0),L19,(L21*L20))</f>
        <v/>
      </c>
    </row>
    <row r="19">
      <c r="A19" s="26" t="inlineStr">
        <is>
          <t>기타비용 실적</t>
        </is>
      </c>
      <c r="B19" s="2" t="inlineStr">
        <is>
          <t>other_actual</t>
        </is>
      </c>
      <c r="C19" s="2" t="inlineStr">
        <is>
          <t>억원</t>
        </is>
      </c>
      <c r="D19" s="27" t="n">
        <v>43496</v>
      </c>
      <c r="E19" s="27" t="n">
        <v>44438</v>
      </c>
      <c r="F19" s="27" t="n">
        <v>44574</v>
      </c>
      <c r="G19" s="27" t="n">
        <v>49317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>
      <c r="A20" s="26" t="inlineStr">
        <is>
          <t>기타비용률</t>
        </is>
      </c>
      <c r="B20" s="2" t="inlineStr">
        <is>
          <t>other_ratio</t>
        </is>
      </c>
      <c r="C20" s="2" t="inlineStr">
        <is>
          <t>%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4" t="n">
        <v>0.75</v>
      </c>
      <c r="I20" s="24" t="n">
        <v>0.749</v>
      </c>
      <c r="J20" s="24" t="n">
        <v>0.748</v>
      </c>
      <c r="K20" s="24" t="n">
        <v>0.747</v>
      </c>
      <c r="L20" s="24" t="n">
        <v>0.746</v>
      </c>
    </row>
    <row r="21">
      <c r="A21" s="25" t="inlineStr">
        <is>
          <t>총매출</t>
        </is>
      </c>
      <c r="B21" s="2" t="inlineStr">
        <is>
          <t>total_revenue</t>
        </is>
      </c>
      <c r="C21" s="2" t="inlineStr">
        <is>
          <t>억원</t>
        </is>
      </c>
      <c r="D21" s="16">
        <f>(((D22+D25)+D28)+D31)</f>
        <v/>
      </c>
      <c r="E21" s="16">
        <f>(((E22+E25)+E28)+E31)</f>
        <v/>
      </c>
      <c r="F21" s="16">
        <f>(((F22+F25)+F28)+F31)</f>
        <v/>
      </c>
      <c r="G21" s="16">
        <f>(((G22+G25)+G28)+G31)</f>
        <v/>
      </c>
      <c r="H21" s="17">
        <f>(((H22+H25)+H28)+H31)</f>
        <v/>
      </c>
      <c r="I21" s="17">
        <f>(((I22+I25)+I28)+I31)</f>
        <v/>
      </c>
      <c r="J21" s="17">
        <f>(((J22+J25)+J28)+J31)</f>
        <v/>
      </c>
      <c r="K21" s="17">
        <f>(((K22+K25)+K28)+K31)</f>
        <v/>
      </c>
      <c r="L21" s="17">
        <f>(((L22+L25)+L28)+L31)</f>
        <v/>
      </c>
    </row>
    <row r="22">
      <c r="A22" s="26" t="inlineStr">
        <is>
          <t>담배</t>
        </is>
      </c>
      <c r="B22" s="2" t="inlineStr">
        <is>
          <t>tobacco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7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</row>
    <row r="23">
      <c r="A23" s="26" t="inlineStr">
        <is>
          <t>담배 실적</t>
        </is>
      </c>
      <c r="B23" s="2" t="inlineStr">
        <is>
          <t>tob_actual</t>
        </is>
      </c>
      <c r="C23" s="2" t="inlineStr">
        <is>
          <t>억원</t>
        </is>
      </c>
      <c r="D23" s="27" t="n">
        <v>35738</v>
      </c>
      <c r="E23" s="27" t="n">
        <v>36123</v>
      </c>
      <c r="F23" s="27" t="n">
        <v>39056</v>
      </c>
      <c r="G23" s="27" t="n">
        <v>43672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>
      <c r="A24" s="26" t="inlineStr">
        <is>
          <t>담배 성장률</t>
        </is>
      </c>
      <c r="B24" s="2" t="inlineStr">
        <is>
          <t>tob_g</t>
        </is>
      </c>
      <c r="C24" s="2" t="inlineStr">
        <is>
          <t>%</t>
        </is>
      </c>
      <c r="D24" s="23" t="n">
        <v>0</v>
      </c>
      <c r="E24" s="23" t="n">
        <v>0</v>
      </c>
      <c r="F24" s="23" t="n">
        <v>0</v>
      </c>
      <c r="G24" s="23" t="n">
        <v>0</v>
      </c>
      <c r="H24" s="24" t="n">
        <v>0.07000000000000001</v>
      </c>
      <c r="I24" s="24" t="n">
        <v>0.06</v>
      </c>
      <c r="J24" s="24" t="n">
        <v>0.05</v>
      </c>
      <c r="K24" s="24" t="n">
        <v>0.04</v>
      </c>
      <c r="L24" s="24" t="n">
        <v>0.03</v>
      </c>
    </row>
    <row r="25">
      <c r="A25" s="26" t="inlineStr">
        <is>
          <t>인삼 (KGC)</t>
        </is>
      </c>
      <c r="B25" s="2" t="inlineStr">
        <is>
          <t>ginseng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인삼 실적</t>
        </is>
      </c>
      <c r="B26" s="2" t="inlineStr">
        <is>
          <t>gin_actual</t>
        </is>
      </c>
      <c r="C26" s="2" t="inlineStr">
        <is>
          <t>억원</t>
        </is>
      </c>
      <c r="D26" s="27" t="n">
        <v>13890</v>
      </c>
      <c r="E26" s="27" t="n">
        <v>13935</v>
      </c>
      <c r="F26" s="27" t="n">
        <v>13016</v>
      </c>
      <c r="G26" s="27" t="n">
        <v>11370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인삼 성장률</t>
        </is>
      </c>
      <c r="B27" s="2" t="inlineStr">
        <is>
          <t>gin_g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-0.03</v>
      </c>
      <c r="I27" s="24" t="n">
        <v>0</v>
      </c>
      <c r="J27" s="24" t="n">
        <v>0.01</v>
      </c>
      <c r="K27" s="24" t="n">
        <v>0.01</v>
      </c>
      <c r="L27" s="24" t="n">
        <v>0.01</v>
      </c>
    </row>
    <row r="28">
      <c r="A28" s="26" t="inlineStr">
        <is>
          <t>부동산</t>
        </is>
      </c>
      <c r="B28" s="2" t="inlineStr">
        <is>
          <t>estate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7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</row>
    <row r="29">
      <c r="A29" s="26" t="inlineStr">
        <is>
          <t>부동산 실적</t>
        </is>
      </c>
      <c r="B29" s="2" t="inlineStr">
        <is>
          <t>est_actual</t>
        </is>
      </c>
      <c r="C29" s="2" t="inlineStr">
        <is>
          <t>억원</t>
        </is>
      </c>
      <c r="D29" s="27" t="n">
        <v>6071</v>
      </c>
      <c r="E29" s="27" t="n">
        <v>5501</v>
      </c>
      <c r="F29" s="27" t="n">
        <v>3613</v>
      </c>
      <c r="G29" s="27" t="n">
        <v>7127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부동산 성장률</t>
        </is>
      </c>
      <c r="B30" s="2" t="inlineStr">
        <is>
          <t>est_g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-0.2</v>
      </c>
      <c r="I30" s="24" t="n">
        <v>-0.02</v>
      </c>
      <c r="J30" s="24" t="n">
        <v>0</v>
      </c>
      <c r="K30" s="24" t="n">
        <v>0</v>
      </c>
      <c r="L30" s="24" t="n">
        <v>0</v>
      </c>
    </row>
    <row r="31">
      <c r="A31" s="26" t="inlineStr">
        <is>
          <t>기타</t>
        </is>
      </c>
      <c r="B31" s="2" t="inlineStr">
        <is>
          <t>etc</t>
        </is>
      </c>
      <c r="C31" s="2" t="inlineStr">
        <is>
          <t>억원</t>
        </is>
      </c>
      <c r="D31" s="16">
        <f>IF((D32&gt;0),D32,(0*(1+D33)))</f>
        <v/>
      </c>
      <c r="E31" s="16">
        <f>IF((E32&gt;0),E32,(D31*(1+E33)))</f>
        <v/>
      </c>
      <c r="F31" s="16">
        <f>IF((F32&gt;0),F32,(E31*(1+F33)))</f>
        <v/>
      </c>
      <c r="G31" s="16">
        <f>IF((G32&gt;0),G32,(F31*(1+G33)))</f>
        <v/>
      </c>
      <c r="H31" s="17">
        <f>IF((H32&gt;0),H32,(G31*(1+H33)))</f>
        <v/>
      </c>
      <c r="I31" s="17">
        <f>IF((I32&gt;0),I32,(H31*(1+I33)))</f>
        <v/>
      </c>
      <c r="J31" s="17">
        <f>IF((J32&gt;0),J32,(I31*(1+J33)))</f>
        <v/>
      </c>
      <c r="K31" s="17">
        <f>IF((K32&gt;0),K32,(J31*(1+K33)))</f>
        <v/>
      </c>
      <c r="L31" s="17">
        <f>IF((L32&gt;0),L32,(K31*(1+L33)))</f>
        <v/>
      </c>
    </row>
    <row r="32">
      <c r="A32" s="26" t="inlineStr">
        <is>
          <t>기타 실적</t>
        </is>
      </c>
      <c r="B32" s="2" t="inlineStr">
        <is>
          <t>etc_actual</t>
        </is>
      </c>
      <c r="C32" s="2" t="inlineStr">
        <is>
          <t>억원</t>
        </is>
      </c>
      <c r="D32" s="27" t="n">
        <v>2815</v>
      </c>
      <c r="E32" s="27" t="n">
        <v>3067</v>
      </c>
      <c r="F32" s="27" t="n">
        <v>3403</v>
      </c>
      <c r="G32" s="27" t="n">
        <v>3628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</row>
    <row r="33">
      <c r="A33" s="26" t="inlineStr">
        <is>
          <t>기타 성장률</t>
        </is>
      </c>
      <c r="B33" s="2" t="inlineStr">
        <is>
          <t>etc_g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4" t="n">
        <v>0.05</v>
      </c>
      <c r="I33" s="24" t="n">
        <v>0.05</v>
      </c>
      <c r="J33" s="24" t="n">
        <v>0.04</v>
      </c>
      <c r="K33" s="24" t="n">
        <v>0.04</v>
      </c>
      <c r="L33" s="24" t="n">
        <v>0.03</v>
      </c>
    </row>
    <row r="34">
      <c r="A34" s="21" t="inlineStr">
        <is>
          <t>CAPEX</t>
        </is>
      </c>
      <c r="B34" s="2" t="inlineStr">
        <is>
          <t>capex</t>
        </is>
      </c>
      <c r="C34" s="2" t="inlineStr">
        <is>
          <t>억원</t>
        </is>
      </c>
      <c r="D34" s="16">
        <f>IF((D35&gt;0),D35,(D21*D36))</f>
        <v/>
      </c>
      <c r="E34" s="16">
        <f>IF((E35&gt;0),E35,(E21*E36))</f>
        <v/>
      </c>
      <c r="F34" s="16">
        <f>IF((F35&gt;0),F35,(F21*F36))</f>
        <v/>
      </c>
      <c r="G34" s="16">
        <f>IF((G35&gt;0),G35,(G21*G36))</f>
        <v/>
      </c>
      <c r="H34" s="17">
        <f>IF((H35&gt;0),H35,(H21*H36))</f>
        <v/>
      </c>
      <c r="I34" s="17">
        <f>IF((I35&gt;0),I35,(I21*I36))</f>
        <v/>
      </c>
      <c r="J34" s="17">
        <f>IF((J35&gt;0),J35,(J21*J36))</f>
        <v/>
      </c>
      <c r="K34" s="17">
        <f>IF((K35&gt;0),K35,(K21*K36))</f>
        <v/>
      </c>
      <c r="L34" s="17">
        <f>IF((L35&gt;0),L35,(L21*L36))</f>
        <v/>
      </c>
    </row>
    <row r="35">
      <c r="A35" s="22" t="inlineStr">
        <is>
          <t>CAPEX 실적</t>
        </is>
      </c>
      <c r="B35" s="2" t="inlineStr">
        <is>
          <t>capex_actual</t>
        </is>
      </c>
      <c r="C35" s="2" t="inlineStr">
        <is>
          <t>억원</t>
        </is>
      </c>
      <c r="D35" s="27" t="n">
        <v>2829</v>
      </c>
      <c r="E35" s="27" t="n">
        <v>5134</v>
      </c>
      <c r="F35" s="27" t="n">
        <v>7972</v>
      </c>
      <c r="G35" s="27" t="n">
        <v>6745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>
      <c r="A36" s="22" t="inlineStr">
        <is>
          <t>CAPEX 비율</t>
        </is>
      </c>
      <c r="B36" s="2" t="inlineStr">
        <is>
          <t>capex_ratio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4" t="n">
        <v>0.095</v>
      </c>
      <c r="I36" s="24" t="n">
        <v>0.09</v>
      </c>
      <c r="J36" s="24" t="n">
        <v>0.08500000000000001</v>
      </c>
      <c r="K36" s="24" t="n">
        <v>0.08</v>
      </c>
      <c r="L36" s="24" t="n">
        <v>0.075</v>
      </c>
    </row>
    <row r="37">
      <c r="A37" s="20" t="inlineStr">
        <is>
          <t>할인계수</t>
        </is>
      </c>
      <c r="B37" s="2" t="inlineStr">
        <is>
          <t>df</t>
        </is>
      </c>
      <c r="C37" s="2" t="inlineStr">
        <is>
          <t>배</t>
        </is>
      </c>
      <c r="D37" s="16">
        <f>IF((D38&gt;0),1,(0/(1+D39)))</f>
        <v/>
      </c>
      <c r="E37" s="16">
        <f>IF((E38&gt;0),1,(D37/(1+E39)))</f>
        <v/>
      </c>
      <c r="F37" s="16">
        <f>IF((F38&gt;0),1,(E37/(1+F39)))</f>
        <v/>
      </c>
      <c r="G37" s="16">
        <f>IF((G38&gt;0),1,(F37/(1+G39)))</f>
        <v/>
      </c>
      <c r="H37" s="17">
        <f>IF((H38&gt;0),1,(G37/(1+H39)))</f>
        <v/>
      </c>
      <c r="I37" s="17">
        <f>IF((I38&gt;0),1,(H37/(1+I39)))</f>
        <v/>
      </c>
      <c r="J37" s="17">
        <f>IF((J38&gt;0),1,(I37/(1+J39)))</f>
        <v/>
      </c>
      <c r="K37" s="17">
        <f>IF((K38&gt;0),1,(J37/(1+K39)))</f>
        <v/>
      </c>
      <c r="L37" s="17">
        <f>IF((L38&gt;0),1,(K37/(1+L39)))</f>
        <v/>
      </c>
    </row>
    <row r="38">
      <c r="A38" s="21" t="inlineStr">
        <is>
          <t>실적 구간 표시</t>
        </is>
      </c>
      <c r="B38" s="2" t="inlineStr">
        <is>
          <t>df_hist</t>
        </is>
      </c>
      <c r="C38" s="2" t="inlineStr"/>
      <c r="D38" s="27" t="n">
        <v>1</v>
      </c>
      <c r="E38" s="27" t="n">
        <v>1</v>
      </c>
      <c r="F38" s="27" t="n">
        <v>1</v>
      </c>
      <c r="G38" s="27" t="n">
        <v>1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</row>
    <row r="39">
      <c r="A39" s="21" t="inlineStr">
        <is>
          <t>WACC</t>
        </is>
      </c>
      <c r="B39" s="2" t="inlineStr">
        <is>
          <t>wacc</t>
        </is>
      </c>
      <c r="C39" s="2" t="inlineStr">
        <is>
          <t>%</t>
        </is>
      </c>
      <c r="D39" s="23" t="n">
        <v>0.08</v>
      </c>
      <c r="E39" s="23" t="n">
        <v>0.08</v>
      </c>
      <c r="F39" s="23" t="n">
        <v>0.08</v>
      </c>
      <c r="G39" s="23" t="n">
        <v>0.08</v>
      </c>
      <c r="H39" s="24" t="n">
        <v>0.08</v>
      </c>
      <c r="I39" s="24" t="n">
        <v>0.08</v>
      </c>
      <c r="J39" s="24" t="n">
        <v>0.08</v>
      </c>
      <c r="K39" s="24" t="n">
        <v>0.08</v>
      </c>
      <c r="L39" s="24" t="n">
        <v>0.08</v>
      </c>
    </row>
    <row r="40">
      <c r="A40" s="18" t="inlineStr">
        <is>
          <t>잔존가치 PV</t>
        </is>
      </c>
      <c r="B40" s="2" t="inlineStr">
        <is>
          <t>tv_pv</t>
        </is>
      </c>
      <c r="C40" s="2" t="inlineStr">
        <is>
          <t>억원</t>
        </is>
      </c>
      <c r="D40" s="16">
        <f>(((D9*(1+D41))/(D39-D41))*D37)</f>
        <v/>
      </c>
      <c r="E40" s="16">
        <f>(((E9*(1+E41))/(E39-E41))*E37)</f>
        <v/>
      </c>
      <c r="F40" s="16">
        <f>(((F9*(1+F41))/(F39-F41))*F37)</f>
        <v/>
      </c>
      <c r="G40" s="16">
        <f>(((G9*(1+G41))/(G39-G41))*G37)</f>
        <v/>
      </c>
      <c r="H40" s="17">
        <f>(((H9*(1+H41))/(H39-H41))*H37)</f>
        <v/>
      </c>
      <c r="I40" s="17">
        <f>(((I9*(1+I41))/(I39-I41))*I37)</f>
        <v/>
      </c>
      <c r="J40" s="17">
        <f>(((J9*(1+J41))/(J39-J41))*J37)</f>
        <v/>
      </c>
      <c r="K40" s="17">
        <f>(((K9*(1+K41))/(K39-K41))*K37)</f>
        <v/>
      </c>
      <c r="L40" s="17">
        <f>(((L9*(1+L41))/(L39-L41))*L37)</f>
        <v/>
      </c>
    </row>
    <row r="41">
      <c r="A41" s="19" t="inlineStr">
        <is>
          <t>영구성장률</t>
        </is>
      </c>
      <c r="B41" s="2" t="inlineStr">
        <is>
          <t>tv_growth</t>
        </is>
      </c>
      <c r="C41" s="2" t="inlineStr">
        <is>
          <t>%</t>
        </is>
      </c>
      <c r="D41" s="23" t="n">
        <v>0.01</v>
      </c>
      <c r="E41" s="23" t="n">
        <v>0.01</v>
      </c>
      <c r="F41" s="23" t="n">
        <v>0.01</v>
      </c>
      <c r="G41" s="23" t="n">
        <v>0.01</v>
      </c>
      <c r="H41" s="24" t="n">
        <v>0.01</v>
      </c>
      <c r="I41" s="24" t="n">
        <v>0.01</v>
      </c>
      <c r="J41" s="24" t="n">
        <v>0.01</v>
      </c>
      <c r="K41" s="24" t="n">
        <v>0.01</v>
      </c>
      <c r="L41" s="24" t="n">
        <v>0.01</v>
      </c>
    </row>
    <row r="42">
      <c r="A42" s="15" t="inlineStr">
        <is>
          <t>순차입금</t>
        </is>
      </c>
      <c r="B42" s="2" t="inlineStr">
        <is>
          <t>net_debt</t>
        </is>
      </c>
      <c r="C42" s="2" t="inlineStr">
        <is>
          <t>억원</t>
        </is>
      </c>
      <c r="D42" s="27" t="n">
        <v>-12455</v>
      </c>
      <c r="E42" s="27" t="n">
        <v>-4964</v>
      </c>
      <c r="F42" s="27" t="n">
        <v>3375</v>
      </c>
      <c r="G42" s="27" t="n">
        <v>8556</v>
      </c>
      <c r="H42" s="28" t="n">
        <v>8556</v>
      </c>
      <c r="I42" s="28" t="n">
        <v>8556</v>
      </c>
      <c r="J42" s="28" t="n">
        <v>8556</v>
      </c>
      <c r="K42" s="28" t="n">
        <v>8556</v>
      </c>
      <c r="L4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'=(H7+H40)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'=((H10+H15)-H34)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'=(H21-H14)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'=(H12+H15)</t>
        </is>
      </c>
    </row>
    <row r="13">
      <c r="A13" s="2" t="inlineStr">
        <is>
          <t>total_cost</t>
        </is>
      </c>
      <c r="B13" s="5" t="inlineStr">
        <is>
          <t>총비용</t>
        </is>
      </c>
      <c r="C13" s="2" t="n">
        <v>14</v>
      </c>
      <c r="D13" s="29" t="inlineStr">
        <is>
          <t>dep_total + other_cost</t>
        </is>
      </c>
      <c r="E13" s="11" t="inlineStr">
        <is>
          <t>'=(H15+H18)</t>
        </is>
      </c>
    </row>
    <row r="14">
      <c r="A14" s="2" t="inlineStr">
        <is>
          <t>dep_total</t>
        </is>
      </c>
      <c r="B14" s="5" t="inlineStr">
        <is>
          <t>감가상각비</t>
        </is>
      </c>
      <c r="C14" s="2" t="n">
        <v>15</v>
      </c>
      <c r="D14" s="29" t="inlineStr">
        <is>
          <t>IF(dep_actual &gt; 0, dep_actual, PREV(dep_total) * (1 + dep_g))</t>
        </is>
      </c>
      <c r="E14" s="11" t="inlineStr">
        <is>
          <t>'=IF((H16&gt;0),H16,(G15*(1+H17)))</t>
        </is>
      </c>
    </row>
    <row r="15">
      <c r="A15" s="2" t="inlineStr">
        <is>
          <t>other_cost</t>
        </is>
      </c>
      <c r="B15" s="5" t="inlineStr">
        <is>
          <t>기타비용</t>
        </is>
      </c>
      <c r="C15" s="2" t="n">
        <v>18</v>
      </c>
      <c r="D15" s="29" t="inlineStr">
        <is>
          <t>IF(other_actual &gt; 0, other_actual, total_revenue * other_ratio)</t>
        </is>
      </c>
      <c r="E15" s="11" t="inlineStr">
        <is>
          <t>'=IF((H19&gt;0),H19,(H21*H20))</t>
        </is>
      </c>
    </row>
    <row r="16">
      <c r="A16" s="2" t="inlineStr">
        <is>
          <t>total_revenue</t>
        </is>
      </c>
      <c r="B16" s="5" t="inlineStr">
        <is>
          <t>총매출</t>
        </is>
      </c>
      <c r="C16" s="2" t="n">
        <v>21</v>
      </c>
      <c r="D16" s="29" t="inlineStr">
        <is>
          <t>tobacco + ginseng + estate + etc</t>
        </is>
      </c>
      <c r="E16" s="11" t="inlineStr">
        <is>
          <t>'=(((H22+H25)+H28)+H31)</t>
        </is>
      </c>
    </row>
    <row r="17">
      <c r="A17" s="2" t="inlineStr">
        <is>
          <t>tobacco</t>
        </is>
      </c>
      <c r="B17" s="5" t="inlineStr">
        <is>
          <t>담배</t>
        </is>
      </c>
      <c r="C17" s="2" t="n">
        <v>22</v>
      </c>
      <c r="D17" s="29" t="inlineStr">
        <is>
          <t>IF(tob_actual &gt; 0, tob_actual, PREV(tobacco) * (1 + tob_g))</t>
        </is>
      </c>
      <c r="E17" s="11" t="inlineStr">
        <is>
          <t>'=IF((H23&gt;0),H23,(G22*(1+H24)))</t>
        </is>
      </c>
    </row>
    <row r="18">
      <c r="A18" s="2" t="inlineStr">
        <is>
          <t>ginseng</t>
        </is>
      </c>
      <c r="B18" s="5" t="inlineStr">
        <is>
          <t>인삼 (KGC)</t>
        </is>
      </c>
      <c r="C18" s="2" t="n">
        <v>25</v>
      </c>
      <c r="D18" s="29" t="inlineStr">
        <is>
          <t>IF(gin_actual &gt; 0, gin_actual, PREV(ginseng) * (1 + gin_g))</t>
        </is>
      </c>
      <c r="E18" s="11" t="inlineStr">
        <is>
          <t>'=IF((H26&gt;0),H26,(G25*(1+H27)))</t>
        </is>
      </c>
    </row>
    <row r="19">
      <c r="A19" s="2" t="inlineStr">
        <is>
          <t>estate</t>
        </is>
      </c>
      <c r="B19" s="5" t="inlineStr">
        <is>
          <t>부동산</t>
        </is>
      </c>
      <c r="C19" s="2" t="n">
        <v>28</v>
      </c>
      <c r="D19" s="29" t="inlineStr">
        <is>
          <t>IF(est_actual &gt; 0, est_actual, PREV(estate) * (1 + est_g))</t>
        </is>
      </c>
      <c r="E19" s="11" t="inlineStr">
        <is>
          <t>'=IF((H29&gt;0),H29,(G28*(1+H30)))</t>
        </is>
      </c>
    </row>
    <row r="20">
      <c r="A20" s="2" t="inlineStr">
        <is>
          <t>etc</t>
        </is>
      </c>
      <c r="B20" s="5" t="inlineStr">
        <is>
          <t>기타</t>
        </is>
      </c>
      <c r="C20" s="2" t="n">
        <v>31</v>
      </c>
      <c r="D20" s="29" t="inlineStr">
        <is>
          <t>IF(etc_actual &gt; 0, etc_actual, PREV(etc) * (1 + etc_g))</t>
        </is>
      </c>
      <c r="E20" s="11" t="inlineStr">
        <is>
          <t>'=IF((H32&gt;0),H32,(G31*(1+H33)))</t>
        </is>
      </c>
    </row>
    <row r="21">
      <c r="A21" s="2" t="inlineStr">
        <is>
          <t>capex</t>
        </is>
      </c>
      <c r="B21" s="5" t="inlineStr">
        <is>
          <t>CAPEX</t>
        </is>
      </c>
      <c r="C21" s="2" t="n">
        <v>34</v>
      </c>
      <c r="D21" s="29" t="inlineStr">
        <is>
          <t>IF(capex_actual &gt; 0, capex_actual, total_revenue * capex_ratio)</t>
        </is>
      </c>
      <c r="E21" s="11" t="inlineStr">
        <is>
          <t>'=IF((H35&gt;0),H35,(H21*H36))</t>
        </is>
      </c>
    </row>
    <row r="22">
      <c r="A22" s="2" t="inlineStr">
        <is>
          <t>df</t>
        </is>
      </c>
      <c r="B22" s="5" t="inlineStr">
        <is>
          <t>할인계수</t>
        </is>
      </c>
      <c r="C22" s="2" t="n">
        <v>37</v>
      </c>
      <c r="D22" s="29" t="inlineStr">
        <is>
          <t>IF(df_hist &gt; 0, 1, PREV(df) / (1 + wacc))</t>
        </is>
      </c>
      <c r="E22" s="11" t="inlineStr">
        <is>
          <t>'=IF((H38&gt;0),1,(G37/(1+H39)))</t>
        </is>
      </c>
    </row>
    <row r="23">
      <c r="A23" s="2" t="inlineStr">
        <is>
          <t>tv_pv</t>
        </is>
      </c>
      <c r="B23" s="5" t="inlineStr">
        <is>
          <t>잔존가치 PV</t>
        </is>
      </c>
      <c r="C23" s="2" t="n">
        <v>40</v>
      </c>
      <c r="D23" s="29" t="inlineStr">
        <is>
          <t>fcf * (1 + tv_growth) / (wacc - tv_growth) * df</t>
        </is>
      </c>
      <c r="E23" s="11" t="inlineStr">
        <is>
          <t>'=(((H9*(1+H41))/(H39-H41))*H37)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total_cost</t>
        </is>
      </c>
      <c r="B13" s="36" t="inlineStr">
        <is>
          <t>총비용</t>
        </is>
      </c>
      <c r="C13" t="n">
        <v>7</v>
      </c>
      <c r="D13" t="inlineStr">
        <is>
          <t>computed</t>
        </is>
      </c>
      <c r="E13" t="inlineStr">
        <is>
          <t>Y</t>
        </is>
      </c>
      <c r="F13" t="n">
        <v>14</v>
      </c>
      <c r="G13" t="inlineStr">
        <is>
          <t>억원</t>
        </is>
      </c>
    </row>
    <row r="14">
      <c r="A14" s="2" t="inlineStr">
        <is>
          <t>dep_total</t>
        </is>
      </c>
      <c r="B14" s="37" t="inlineStr">
        <is>
          <t>감가상각비</t>
        </is>
      </c>
      <c r="C14" t="n">
        <v>8</v>
      </c>
      <c r="D14" t="inlineStr">
        <is>
          <t>computed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dep_actual</t>
        </is>
      </c>
      <c r="B15" s="37" t="inlineStr">
        <is>
          <t>감가상각비 실적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dep_g</t>
        </is>
      </c>
      <c r="B16" s="37" t="inlineStr">
        <is>
          <t>감가상각 증가율</t>
        </is>
      </c>
      <c r="C16" t="n">
        <v>9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other_cost</t>
        </is>
      </c>
      <c r="B17" s="37" t="inlineStr">
        <is>
          <t>기타비용</t>
        </is>
      </c>
      <c r="C17" t="n">
        <v>8</v>
      </c>
      <c r="D17" t="inlineStr">
        <is>
          <t>computed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other_actual</t>
        </is>
      </c>
      <c r="B18" s="37" t="inlineStr">
        <is>
          <t>기타비용 실적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억원</t>
        </is>
      </c>
    </row>
    <row r="19">
      <c r="A19" s="2" t="inlineStr">
        <is>
          <t>other_ratio</t>
        </is>
      </c>
      <c r="B19" s="37" t="inlineStr">
        <is>
          <t>기타비용률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total_revenue</t>
        </is>
      </c>
      <c r="B20" s="36" t="inlineStr">
        <is>
          <t>총매출</t>
        </is>
      </c>
      <c r="C20" t="n">
        <v>7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tobacco</t>
        </is>
      </c>
      <c r="B21" s="37" t="inlineStr">
        <is>
          <t>담배</t>
        </is>
      </c>
      <c r="C21" t="n">
        <v>8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tob_actual</t>
        </is>
      </c>
      <c r="B22" s="37" t="inlineStr">
        <is>
          <t>담배 실적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tob_g</t>
        </is>
      </c>
      <c r="B23" s="37" t="inlineStr">
        <is>
          <t>담배 성장률</t>
        </is>
      </c>
      <c r="C23" t="n">
        <v>9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ginseng</t>
        </is>
      </c>
      <c r="B24" s="37" t="inlineStr">
        <is>
          <t>인삼 (KGC)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gin_actual</t>
        </is>
      </c>
      <c r="B25" s="37" t="inlineStr">
        <is>
          <t>인삼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gin_g</t>
        </is>
      </c>
      <c r="B26" s="37" t="inlineStr">
        <is>
          <t>인삼 성장률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estate</t>
        </is>
      </c>
      <c r="B27" s="37" t="inlineStr">
        <is>
          <t>부동산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est_actual</t>
        </is>
      </c>
      <c r="B28" s="37" t="inlineStr">
        <is>
          <t>부동산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est_g</t>
        </is>
      </c>
      <c r="B29" s="37" t="inlineStr">
        <is>
          <t>부동산 성장률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etc</t>
        </is>
      </c>
      <c r="B30" s="37" t="inlineStr">
        <is>
          <t>기타</t>
        </is>
      </c>
      <c r="C30" t="n">
        <v>8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etc_actual</t>
        </is>
      </c>
      <c r="B31" s="37" t="inlineStr">
        <is>
          <t>기타 실적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etc_g</t>
        </is>
      </c>
      <c r="B32" s="37" t="inlineStr">
        <is>
          <t>기타 성장률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capex</t>
        </is>
      </c>
      <c r="B33" s="34" t="inlineStr">
        <is>
          <t>CAPEX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capex_actual</t>
        </is>
      </c>
      <c r="B34" s="35" t="inlineStr">
        <is>
          <t>CAPEX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capex_ratio</t>
        </is>
      </c>
      <c r="B35" s="35" t="inlineStr">
        <is>
          <t>CAPEX 비율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df</t>
        </is>
      </c>
      <c r="B36" s="33" t="inlineStr">
        <is>
          <t>할인계수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배</t>
        </is>
      </c>
    </row>
    <row r="37">
      <c r="A37" s="2" t="inlineStr">
        <is>
          <t>df_hist</t>
        </is>
      </c>
      <c r="B37" s="34" t="inlineStr">
        <is>
          <t>실적 구간 표시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/>
    </row>
    <row r="38">
      <c r="A38" s="2" t="inlineStr">
        <is>
          <t>wacc</t>
        </is>
      </c>
      <c r="B38" s="34" t="inlineStr">
        <is>
          <t>WACC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tv_pv</t>
        </is>
      </c>
      <c r="B39" s="31" t="inlineStr">
        <is>
          <t>잔존가치 PV</t>
        </is>
      </c>
      <c r="C39" t="n">
        <v>2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tv_growth</t>
        </is>
      </c>
      <c r="B40" s="32" t="inlineStr">
        <is>
          <t>영구성장률</t>
        </is>
      </c>
      <c r="C40" t="n">
        <v>3</v>
      </c>
      <c r="D40" t="inlineStr">
        <is>
          <t>input</t>
        </is>
      </c>
      <c r="E40" t="inlineStr"/>
      <c r="F40" t="n">
        <v>41</v>
      </c>
      <c r="G40" t="inlineStr">
        <is>
          <t>%</t>
        </is>
      </c>
    </row>
    <row r="41">
      <c r="A41" s="2" t="inlineStr">
        <is>
          <t>net_debt</t>
        </is>
      </c>
      <c r="B41" s="30" t="inlineStr">
        <is>
          <t>순차입금</t>
        </is>
      </c>
      <c r="C41" t="n">
        <v>1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ROUND(Model!D6-(Model!D7+Model!D40),6)</f>
        <v/>
      </c>
      <c r="E5" s="38">
        <f>ROUND(Model!E6-(Model!E7+Model!E40),6)</f>
        <v/>
      </c>
      <c r="F5" s="38">
        <f>ROUND(Model!F6-(Model!F7+Model!F40),6)</f>
        <v/>
      </c>
      <c r="G5" s="38">
        <f>ROUND(Model!G6-(Model!G7+Model!G40),6)</f>
        <v/>
      </c>
      <c r="H5" s="38">
        <f>ROUND(Model!H6-(Model!H7+Model!H40),6)</f>
        <v/>
      </c>
      <c r="I5" s="38">
        <f>ROUND(Model!I6-(Model!I7+Model!I40),6)</f>
        <v/>
      </c>
      <c r="J5" s="38">
        <f>ROUND(Model!J6-(Model!J7+Model!J40),6)</f>
        <v/>
      </c>
      <c r="K5" s="38">
        <f>ROUND(Model!K6-(Model!K7+Model!K40),6)</f>
        <v/>
      </c>
      <c r="L5" s="38">
        <f>ROUND(Model!L6-(Model!L7+Model!L40),6)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ROUND(Model!D14-(Model!D15+Model!D18),6)</f>
        <v/>
      </c>
      <c r="E6" s="38">
        <f>ROUND(Model!E14-(Model!E15+Model!E18),6)</f>
        <v/>
      </c>
      <c r="F6" s="38">
        <f>ROUND(Model!F14-(Model!F15+Model!F18),6)</f>
        <v/>
      </c>
      <c r="G6" s="38">
        <f>ROUND(Model!G14-(Model!G15+Model!G18),6)</f>
        <v/>
      </c>
      <c r="H6" s="38">
        <f>ROUND(Model!H14-(Model!H15+Model!H18),6)</f>
        <v/>
      </c>
      <c r="I6" s="38">
        <f>ROUND(Model!I14-(Model!I15+Model!I18),6)</f>
        <v/>
      </c>
      <c r="J6" s="38">
        <f>ROUND(Model!J14-(Model!J15+Model!J18),6)</f>
        <v/>
      </c>
      <c r="K6" s="38">
        <f>ROUND(Model!K14-(Model!K15+Model!K18),6)</f>
        <v/>
      </c>
      <c r="L6" s="38">
        <f>ROUND(Model!L14-(Model!L15+Model!L18),6)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ROUND(Model!D21-(Model!D22+Model!D25+Model!D28+Model!D31),6)</f>
        <v/>
      </c>
      <c r="E7" s="38">
        <f>ROUND(Model!E21-(Model!E22+Model!E25+Model!E28+Model!E31),6)</f>
        <v/>
      </c>
      <c r="F7" s="38">
        <f>ROUND(Model!F21-(Model!F22+Model!F25+Model!F28+Model!F31),6)</f>
        <v/>
      </c>
      <c r="G7" s="38">
        <f>ROUND(Model!G21-(Model!G22+Model!G25+Model!G28+Model!G31),6)</f>
        <v/>
      </c>
      <c r="H7" s="38">
        <f>ROUND(Model!H21-(Model!H22+Model!H25+Model!H28+Model!H31),6)</f>
        <v/>
      </c>
      <c r="I7" s="38">
        <f>ROUND(Model!I21-(Model!I22+Model!I25+Model!I28+Model!I31),6)</f>
        <v/>
      </c>
      <c r="J7" s="38">
        <f>ROUND(Model!J21-(Model!J22+Model!J25+Model!J28+Model!J31),6)</f>
        <v/>
      </c>
      <c r="K7" s="38">
        <f>ROUND(Model!K21-(Model!K22+Model!K25+Model!K28+Model!K31),6)</f>
        <v/>
      </c>
      <c r="L7" s="38">
        <f>ROUND(Model!L21-(Model!L22+Model!L25+Model!L28+Model!L31),6)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d2f55cd39555cb25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38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
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12" t="n">
        <v>2341</v>
      </c>
      <c r="E6" s="12" t="n">
        <v>2515</v>
      </c>
      <c r="F6" s="12" t="n">
        <v>2626</v>
      </c>
      <c r="G6" s="12" t="n">
        <v>3043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DART 연결 영업부문 주석. 추정 구간은 0으로 두고 증가율로 굴린다.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v>0.09</v>
      </c>
      <c r="I7" s="10" t="n">
        <v>0.07000000000000001</v>
      </c>
      <c r="J7" s="10" t="n">
        <v>0.05</v>
      </c>
      <c r="K7" s="10" t="n">
        <v>0.04</v>
      </c>
      <c r="L7" s="10" t="n">
        <v>0.03</v>
      </c>
      <c r="M7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12" t="n">
        <v>43496</v>
      </c>
      <c r="E8" s="12" t="n">
        <v>44438</v>
      </c>
      <c r="F8" s="12" t="n">
        <v>44574</v>
      </c>
      <c r="G8" s="12" t="n">
        <v>49317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1" t="inlineStr">
        <is>
          <t>[객관] 매출 − 영업이익 − 감가상각비로 유도한 확정값.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0.75</v>
      </c>
      <c r="I9" s="10" t="n">
        <v>0.749</v>
      </c>
      <c r="J9" s="10" t="n">
        <v>0.748</v>
      </c>
      <c r="K9" s="10" t="n">
        <v>0.747</v>
      </c>
      <c r="L9" s="10" t="n">
        <v>0.746</v>
      </c>
      <c r="M9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0">
      <c r="A10" s="5" t="inlineStr">
        <is>
          <t>담배 실적</t>
        </is>
      </c>
      <c r="B10" s="2" t="inlineStr">
        <is>
          <t>tob_actual</t>
        </is>
      </c>
      <c r="C10" s="2" t="inlineStr">
        <is>
          <t>억원</t>
        </is>
      </c>
      <c r="D10" s="12" t="n">
        <v>35738</v>
      </c>
      <c r="E10" s="12" t="n">
        <v>36123</v>
      </c>
      <c r="F10" s="12" t="n">
        <v>39056</v>
      </c>
      <c r="G10" s="12" t="n">
        <v>43672</v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1" t="inlineStr">
        <is>
          <t>[객관] DART 연결 영업부문 주석 외부고객수익.</t>
        </is>
      </c>
    </row>
    <row r="11">
      <c r="A11" s="5" t="inlineStr">
        <is>
          <t>담배 성장률</t>
        </is>
      </c>
      <c r="B11" s="2" t="inlineStr">
        <is>
          <t>tob_g</t>
        </is>
      </c>
      <c r="C11" s="2" t="inlineStr">
        <is>
          <t>%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10" t="n">
        <v>0.07000000000000001</v>
      </c>
      <c r="I11" s="10" t="n">
        <v>0.06</v>
      </c>
      <c r="J11" s="10" t="n">
        <v>0.05</v>
      </c>
      <c r="K11" s="10" t="n">
        <v>0.04</v>
      </c>
      <c r="L11" s="10" t="n">
        <v>0.03</v>
      </c>
      <c r="M11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2">
      <c r="A12" s="5" t="inlineStr">
        <is>
          <t>인삼 실적</t>
        </is>
      </c>
      <c r="B12" s="2" t="inlineStr">
        <is>
          <t>gin_actual</t>
        </is>
      </c>
      <c r="C12" s="2" t="inlineStr">
        <is>
          <t>억원</t>
        </is>
      </c>
      <c r="D12" s="12" t="n">
        <v>13890</v>
      </c>
      <c r="E12" s="12" t="n">
        <v>13935</v>
      </c>
      <c r="F12" s="12" t="n">
        <v>13016</v>
      </c>
      <c r="G12" s="12" t="n">
        <v>11370</v>
      </c>
      <c r="H12" s="13" t="n">
        <v>0</v>
      </c>
      <c r="I12" s="13" t="n">
        <v>0</v>
      </c>
      <c r="J12" s="13" t="n">
        <v>0</v>
      </c>
      <c r="K12" s="13" t="n">
        <v>0</v>
      </c>
      <c r="L12" s="13" t="n">
        <v>0</v>
      </c>
      <c r="M12" s="11" t="inlineStr">
        <is>
          <t>[객관] DART 연결 영업부문 주석 외부고객수익.</t>
        </is>
      </c>
    </row>
    <row r="13">
      <c r="A13" s="5" t="inlineStr">
        <is>
          <t>인삼 성장률</t>
        </is>
      </c>
      <c r="B13" s="2" t="inlineStr">
        <is>
          <t>gin_g</t>
        </is>
      </c>
      <c r="C13" s="2" t="inlineStr">
        <is>
          <t>%</t>
        </is>
      </c>
      <c r="D13" s="9" t="n">
        <v>0</v>
      </c>
      <c r="E13" s="9" t="n">
        <v>0</v>
      </c>
      <c r="F13" s="9" t="n">
        <v>0</v>
      </c>
      <c r="G13" s="9" t="n">
        <v>0</v>
      </c>
      <c r="H13" s="10" t="n">
        <v>-0.03</v>
      </c>
      <c r="I13" s="10" t="n">
        <v>0</v>
      </c>
      <c r="J13" s="10" t="n">
        <v>0.01</v>
      </c>
      <c r="K13" s="10" t="n">
        <v>0.01</v>
      </c>
      <c r="L13" s="10" t="n">
        <v>0.01</v>
      </c>
      <c r="M13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14">
      <c r="A14" s="5" t="inlineStr">
        <is>
          <t>부동산 실적</t>
        </is>
      </c>
      <c r="B14" s="2" t="inlineStr">
        <is>
          <t>est_actual</t>
        </is>
      </c>
      <c r="C14" s="2" t="inlineStr">
        <is>
          <t>억원</t>
        </is>
      </c>
      <c r="D14" s="12" t="n">
        <v>6071</v>
      </c>
      <c r="E14" s="12" t="n">
        <v>5501</v>
      </c>
      <c r="F14" s="12" t="n">
        <v>3613</v>
      </c>
      <c r="G14" s="12" t="n">
        <v>7127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1" t="inlineStr">
        <is>
          <t>[객관] DART 연결 영업부문 주석 외부고객수익.</t>
        </is>
      </c>
    </row>
    <row r="15">
      <c r="A15" s="5" t="inlineStr">
        <is>
          <t>부동산 성장률</t>
        </is>
      </c>
      <c r="B15" s="2" t="inlineStr">
        <is>
          <t>est_g</t>
        </is>
      </c>
      <c r="C15" s="2" t="inlineStr">
        <is>
          <t>%</t>
        </is>
      </c>
      <c r="D15" s="9" t="n">
        <v>0</v>
      </c>
      <c r="E15" s="9" t="n">
        <v>0</v>
      </c>
      <c r="F15" s="9" t="n">
        <v>0</v>
      </c>
      <c r="G15" s="9" t="n">
        <v>0</v>
      </c>
      <c r="H15" s="10" t="n">
        <v>-0.2</v>
      </c>
      <c r="I15" s="10" t="n">
        <v>-0.02</v>
      </c>
      <c r="J15" s="10" t="n">
        <v>0</v>
      </c>
      <c r="K15" s="10" t="n">
        <v>0</v>
      </c>
      <c r="L15" s="10" t="n">
        <v>0</v>
      </c>
      <c r="M15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16">
      <c r="A16" s="5" t="inlineStr">
        <is>
          <t>기타 실적</t>
        </is>
      </c>
      <c r="B16" s="2" t="inlineStr">
        <is>
          <t>etc_actual</t>
        </is>
      </c>
      <c r="C16" s="2" t="inlineStr">
        <is>
          <t>억원</t>
        </is>
      </c>
      <c r="D16" s="12" t="n">
        <v>2815</v>
      </c>
      <c r="E16" s="12" t="n">
        <v>3067</v>
      </c>
      <c r="F16" s="12" t="n">
        <v>3403</v>
      </c>
      <c r="G16" s="12" t="n">
        <v>3628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1" t="inlineStr">
        <is>
          <t>[객관] DART 연결 영업부문 주석 외부고객수익.</t>
        </is>
      </c>
    </row>
    <row r="17">
      <c r="A17" s="5" t="inlineStr">
        <is>
          <t>기타 성장률</t>
        </is>
      </c>
      <c r="B17" s="2" t="inlineStr">
        <is>
          <t>etc_g</t>
        </is>
      </c>
      <c r="C17" s="2" t="inlineStr">
        <is>
          <t>%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10" t="n">
        <v>0.05</v>
      </c>
      <c r="I17" s="10" t="n">
        <v>0.05</v>
      </c>
      <c r="J17" s="10" t="n">
        <v>0.04</v>
      </c>
      <c r="K17" s="10" t="n">
        <v>0.04</v>
      </c>
      <c r="L17" s="10" t="n">
        <v>0.03</v>
      </c>
      <c r="M17" s="11" t="inlineStr">
        <is>
          <t>[주관] 실적 4년 연평균 +8.8%에서 체감시켰다.</t>
        </is>
      </c>
    </row>
    <row r="18">
      <c r="A18" s="5" t="inlineStr">
        <is>
          <t>CAPEX 실적</t>
        </is>
      </c>
      <c r="B18" s="2" t="inlineStr">
        <is>
          <t>capex_actual</t>
        </is>
      </c>
      <c r="C18" s="2" t="inlineStr">
        <is>
          <t>억원</t>
        </is>
      </c>
      <c r="D18" s="12" t="n">
        <v>2829</v>
      </c>
      <c r="E18" s="12" t="n">
        <v>5134</v>
      </c>
      <c r="F18" s="12" t="n">
        <v>7972</v>
      </c>
      <c r="G18" s="12" t="n">
        <v>6745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1" t="inlineStr">
        <is>
          <t>[객관] 연결 현금흐름표 투자활동. 추정 구간은 0으로 두고 비율로 굴린다.</t>
        </is>
      </c>
    </row>
    <row r="19">
      <c r="A19" s="5" t="inlineStr">
        <is>
          <t>CAPEX 비율</t>
        </is>
      </c>
      <c r="B19" s="2" t="inlineStr">
        <is>
          <t>capex_ratio</t>
        </is>
      </c>
      <c r="C19" s="2" t="inlineStr">
        <is>
          <t>%</t>
        </is>
      </c>
      <c r="D19" s="9" t="n">
        <v>0</v>
      </c>
      <c r="E19" s="9" t="n">
        <v>0</v>
      </c>
      <c r="F19" s="9" t="n">
        <v>0</v>
      </c>
      <c r="G19" s="9" t="n">
        <v>0</v>
      </c>
      <c r="H19" s="10" t="n">
        <v>0.095</v>
      </c>
      <c r="I19" s="10" t="n">
        <v>0.09</v>
      </c>
      <c r="J19" s="10" t="n">
        <v>0.08500000000000001</v>
      </c>
      <c r="K19" s="10" t="n">
        <v>0.08</v>
      </c>
      <c r="L19" s="10" t="n">
        <v>0.075</v>
      </c>
      <c r="M19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0">
      <c r="A20" s="5" t="inlineStr">
        <is>
          <t>실적 구간 표시</t>
        </is>
      </c>
      <c r="B20" s="2" t="inlineStr">
        <is>
          <t>df_hist</t>
        </is>
      </c>
      <c r="C20" s="2" t="inlineStr"/>
      <c r="D20" s="12" t="n">
        <v>1</v>
      </c>
      <c r="E20" s="12" t="n">
        <v>1</v>
      </c>
      <c r="F20" s="12" t="n">
        <v>1</v>
      </c>
      <c r="G20" s="12" t="n">
        <v>1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1">
      <c r="A21" s="5" t="inlineStr">
        <is>
          <t>WACC</t>
        </is>
      </c>
      <c r="B21" s="2" t="inlineStr">
        <is>
          <t>wacc</t>
        </is>
      </c>
      <c r="C21" s="2" t="inlineStr">
        <is>
          <t>%</t>
        </is>
      </c>
      <c r="D21" s="9" t="n">
        <v>0.08</v>
      </c>
      <c r="E21" s="9" t="n">
        <v>0.08</v>
      </c>
      <c r="F21" s="9" t="n">
        <v>0.08</v>
      </c>
      <c r="G21" s="9" t="n">
        <v>0.08</v>
      </c>
      <c r="H21" s="10" t="n">
        <v>0.08</v>
      </c>
      <c r="I21" s="10" t="n">
        <v>0.08</v>
      </c>
      <c r="J21" s="10" t="n">
        <v>0.08</v>
      </c>
      <c r="K21" s="10" t="n">
        <v>0.08</v>
      </c>
      <c r="L21" s="10" t="n">
        <v>0.08</v>
      </c>
      <c r="M21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2">
      <c r="A22" s="5" t="inlineStr">
        <is>
          <t>영구성장률</t>
        </is>
      </c>
      <c r="B22" s="2" t="inlineStr">
        <is>
          <t>tv_growth</t>
        </is>
      </c>
      <c r="C22" s="2" t="inlineStr">
        <is>
          <t>%</t>
        </is>
      </c>
      <c r="D22" s="9" t="n">
        <v>0.01</v>
      </c>
      <c r="E22" s="9" t="n">
        <v>0.01</v>
      </c>
      <c r="F22" s="9" t="n">
        <v>0.01</v>
      </c>
      <c r="G22" s="9" t="n">
        <v>0.01</v>
      </c>
      <c r="H22" s="10" t="n">
        <v>0.01</v>
      </c>
      <c r="I22" s="10" t="n">
        <v>0.01</v>
      </c>
      <c r="J22" s="10" t="n">
        <v>0.01</v>
      </c>
      <c r="K22" s="10" t="n">
        <v>0.01</v>
      </c>
      <c r="L22" s="10" t="n">
        <v>0.01</v>
      </c>
      <c r="M22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23">
      <c r="A23" s="5" t="inlineStr">
        <is>
          <t>순차입금</t>
        </is>
      </c>
      <c r="B23" s="2" t="inlineStr">
        <is>
          <t>net_debt</t>
        </is>
      </c>
      <c r="C23" s="2" t="inlineStr">
        <is>
          <t>억원</t>
        </is>
      </c>
      <c r="D23" s="12" t="n">
        <v>-12455</v>
      </c>
      <c r="E23" s="12" t="n">
        <v>-4964</v>
      </c>
      <c r="F23" s="12" t="n">
        <v>3375</v>
      </c>
      <c r="G23" s="12" t="n">
        <v>8556</v>
      </c>
      <c r="H23" s="13" t="n">
        <v>8556</v>
      </c>
      <c r="I23" s="13" t="n">
        <v>8556</v>
      </c>
      <c r="J23" s="13" t="n">
        <v>8556</v>
      </c>
      <c r="K23" s="13" t="n">
        <v>8556</v>
      </c>
      <c r="L23" s="13" t="n">
        <v>8556</v>
      </c>
      <c r="M23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(D6-D41)</f>
        <v/>
      </c>
      <c r="E5" s="14">
        <f>(E6-E41)</f>
        <v/>
      </c>
      <c r="F5" s="14">
        <f>(F6-F41)</f>
        <v/>
      </c>
      <c r="G5" s="14">
        <f>(G6-G41)</f>
        <v/>
      </c>
      <c r="H5" s="14">
        <f>(H6-H41)</f>
        <v/>
      </c>
      <c r="I5" s="14">
        <f>(I6-I41)</f>
        <v/>
      </c>
      <c r="J5" s="14">
        <f>(J6-J41)</f>
        <v/>
      </c>
      <c r="K5" s="14">
        <f>(K6-K41)</f>
        <v/>
      </c>
      <c r="L5" s="14">
        <f>(L6-L41)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(D7+D39)</f>
        <v/>
      </c>
      <c r="E6" s="16">
        <f>(E7+E39)</f>
        <v/>
      </c>
      <c r="F6" s="16">
        <f>(F7+F39)</f>
        <v/>
      </c>
      <c r="G6" s="16">
        <f>(G7+G39)</f>
        <v/>
      </c>
      <c r="H6" s="17">
        <f>(H7+H39)</f>
        <v/>
      </c>
      <c r="I6" s="17">
        <f>(I7+I39)</f>
        <v/>
      </c>
      <c r="J6" s="17">
        <f>(J7+J39)</f>
        <v/>
      </c>
      <c r="K6" s="17">
        <f>(K7+K39)</f>
        <v/>
      </c>
      <c r="L6" s="17">
        <f>(L7+L39)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(0+(D8*(1-D37)))</f>
        <v/>
      </c>
      <c r="E7" s="16">
        <f>(D7+(E8*(1-E37)))</f>
        <v/>
      </c>
      <c r="F7" s="16">
        <f>(E7+(F8*(1-F37)))</f>
        <v/>
      </c>
      <c r="G7" s="16">
        <f>(F7+(G8*(1-G37)))</f>
        <v/>
      </c>
      <c r="H7" s="17">
        <f>(G7+(H8*(1-H37)))</f>
        <v/>
      </c>
      <c r="I7" s="17">
        <f>(H7+(I8*(1-I37)))</f>
        <v/>
      </c>
      <c r="J7" s="17">
        <f>(I7+(J8*(1-J37)))</f>
        <v/>
      </c>
      <c r="K7" s="17">
        <f>(J7+(K8*(1-K37)))</f>
        <v/>
      </c>
      <c r="L7" s="17">
        <f>(K7+(L8*(1-L37)))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(D9*D36)</f>
        <v/>
      </c>
      <c r="E8" s="16">
        <f>(E9*E36)</f>
        <v/>
      </c>
      <c r="F8" s="16">
        <f>(F9*F36)</f>
        <v/>
      </c>
      <c r="G8" s="16">
        <f>(G9*G36)</f>
        <v/>
      </c>
      <c r="H8" s="17">
        <f>(H9*H36)</f>
        <v/>
      </c>
      <c r="I8" s="17">
        <f>(I9*I36)</f>
        <v/>
      </c>
      <c r="J8" s="17">
        <f>(J9*J36)</f>
        <v/>
      </c>
      <c r="K8" s="17">
        <f>(K9*K36)</f>
        <v/>
      </c>
      <c r="L8" s="17">
        <f>(L9*L36)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((D10+D14)-D33)</f>
        <v/>
      </c>
      <c r="E9" s="16">
        <f>((E10+E14)-E33)</f>
        <v/>
      </c>
      <c r="F9" s="16">
        <f>((F10+F14)-F33)</f>
        <v/>
      </c>
      <c r="G9" s="16">
        <f>((G10+G14)-G33)</f>
        <v/>
      </c>
      <c r="H9" s="17">
        <f>((H10+H14)-H33)</f>
        <v/>
      </c>
      <c r="I9" s="17">
        <f>((I10+I14)-I33)</f>
        <v/>
      </c>
      <c r="J9" s="17">
        <f>((J10+J14)-J33)</f>
        <v/>
      </c>
      <c r="K9" s="17">
        <f>((K10+K14)-K33)</f>
        <v/>
      </c>
      <c r="L9" s="17">
        <f>((L10+L14)-L33)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(D20-D13)</f>
        <v/>
      </c>
      <c r="E12" s="16">
        <f>(E20-E13)</f>
        <v/>
      </c>
      <c r="F12" s="16">
        <f>(F20-F13)</f>
        <v/>
      </c>
      <c r="G12" s="16">
        <f>(G20-G13)</f>
        <v/>
      </c>
      <c r="H12" s="17">
        <f>(H20-H13)</f>
        <v/>
      </c>
      <c r="I12" s="17">
        <f>(I20-I13)</f>
        <v/>
      </c>
      <c r="J12" s="17">
        <f>(J20-J13)</f>
        <v/>
      </c>
      <c r="K12" s="17">
        <f>(K20-K13)</f>
        <v/>
      </c>
      <c r="L12" s="17">
        <f>(L20-L13)</f>
        <v/>
      </c>
    </row>
    <row r="13">
      <c r="A13" s="25" t="inlineStr">
        <is>
          <t>총비용</t>
        </is>
      </c>
      <c r="B13" s="2" t="inlineStr">
        <is>
          <t>total_cost</t>
        </is>
      </c>
      <c r="C13" s="2" t="inlineStr">
        <is>
          <t>억원</t>
        </is>
      </c>
      <c r="D13" s="16">
        <f>(D14+D17)</f>
        <v/>
      </c>
      <c r="E13" s="16">
        <f>(E14+E17)</f>
        <v/>
      </c>
      <c r="F13" s="16">
        <f>(F14+F17)</f>
        <v/>
      </c>
      <c r="G13" s="16">
        <f>(G14+G17)</f>
        <v/>
      </c>
      <c r="H13" s="17">
        <f>(H14+H17)</f>
        <v/>
      </c>
      <c r="I13" s="17">
        <f>(I14+I17)</f>
        <v/>
      </c>
      <c r="J13" s="17">
        <f>(J14+J17)</f>
        <v/>
      </c>
      <c r="K13" s="17">
        <f>(K14+K17)</f>
        <v/>
      </c>
      <c r="L13" s="17">
        <f>(L14+L17)</f>
        <v/>
      </c>
    </row>
    <row r="14">
      <c r="A14" s="26" t="inlineStr">
        <is>
          <t>감가상각비</t>
        </is>
      </c>
      <c r="B14" s="2" t="inlineStr">
        <is>
          <t>dep_total</t>
        </is>
      </c>
      <c r="C14" s="2" t="inlineStr">
        <is>
          <t>억원</t>
        </is>
      </c>
      <c r="D14" s="16">
        <f>IF((D15&gt;0),D15,(0*(1+D16)))</f>
        <v/>
      </c>
      <c r="E14" s="16">
        <f>IF((E15&gt;0),E15,(D14*(1+E16)))</f>
        <v/>
      </c>
      <c r="F14" s="16">
        <f>IF((F15&gt;0),F15,(E14*(1+F16)))</f>
        <v/>
      </c>
      <c r="G14" s="16">
        <f>IF((G15&gt;0),G15,(F14*(1+G16)))</f>
        <v/>
      </c>
      <c r="H14" s="17">
        <f>IF((H15&gt;0),H15,(G14*(1+H16)))</f>
        <v/>
      </c>
      <c r="I14" s="17">
        <f>IF((I15&gt;0),I15,(H14*(1+I16)))</f>
        <v/>
      </c>
      <c r="J14" s="17">
        <f>IF((J15&gt;0),J15,(I14*(1+J16)))</f>
        <v/>
      </c>
      <c r="K14" s="17">
        <f>IF((K15&gt;0),K15,(J14*(1+K16)))</f>
        <v/>
      </c>
      <c r="L14" s="17">
        <f>IF((L15&gt;0),L15,(K14*(1+L16)))</f>
        <v/>
      </c>
    </row>
    <row r="15">
      <c r="A15" s="26" t="inlineStr">
        <is>
          <t>감가상각비 실적</t>
        </is>
      </c>
      <c r="B15" s="2" t="inlineStr">
        <is>
          <t>dep_actual</t>
        </is>
      </c>
      <c r="C15" s="2" t="inlineStr">
        <is>
          <t>억원</t>
        </is>
      </c>
      <c r="D15" s="27" t="n">
        <v>2341</v>
      </c>
      <c r="E15" s="27" t="n">
        <v>2515</v>
      </c>
      <c r="F15" s="27" t="n">
        <v>2626</v>
      </c>
      <c r="G15" s="27" t="n">
        <v>3043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감가상각 증가율</t>
        </is>
      </c>
      <c r="B16" s="2" t="inlineStr">
        <is>
          <t>dep_g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4" t="n">
        <v>0.09</v>
      </c>
      <c r="I16" s="24" t="n">
        <v>0.07000000000000001</v>
      </c>
      <c r="J16" s="24" t="n">
        <v>0.05</v>
      </c>
      <c r="K16" s="24" t="n">
        <v>0.04</v>
      </c>
      <c r="L16" s="24" t="n">
        <v>0.03</v>
      </c>
    </row>
    <row r="17">
      <c r="A17" s="26" t="inlineStr">
        <is>
          <t>기타비용</t>
        </is>
      </c>
      <c r="B17" s="2" t="inlineStr">
        <is>
          <t>other_cost</t>
        </is>
      </c>
      <c r="C17" s="2" t="inlineStr">
        <is>
          <t>억원</t>
        </is>
      </c>
      <c r="D17" s="16">
        <f>IF((D18&gt;0),D18,(D20*D19))</f>
        <v/>
      </c>
      <c r="E17" s="16">
        <f>IF((E18&gt;0),E18,(E20*E19))</f>
        <v/>
      </c>
      <c r="F17" s="16">
        <f>IF((F18&gt;0),F18,(F20*F19))</f>
        <v/>
      </c>
      <c r="G17" s="16">
        <f>IF((G18&gt;0),G18,(G20*G19))</f>
        <v/>
      </c>
      <c r="H17" s="17">
        <f>IF((H18&gt;0),H18,(H20*H19))</f>
        <v/>
      </c>
      <c r="I17" s="17">
        <f>IF((I18&gt;0),I18,(I20*I19))</f>
        <v/>
      </c>
      <c r="J17" s="17">
        <f>IF((J18&gt;0),J18,(J20*J19))</f>
        <v/>
      </c>
      <c r="K17" s="17">
        <f>IF((K18&gt;0),K18,(K20*K19))</f>
        <v/>
      </c>
      <c r="L17" s="17">
        <f>IF((L18&gt;0),L18,(L20*L19))</f>
        <v/>
      </c>
    </row>
    <row r="18">
      <c r="A18" s="26" t="inlineStr">
        <is>
          <t>기타비용 실적</t>
        </is>
      </c>
      <c r="B18" s="2" t="inlineStr">
        <is>
          <t>other_actual</t>
        </is>
      </c>
      <c r="C18" s="2" t="inlineStr">
        <is>
          <t>억원</t>
        </is>
      </c>
      <c r="D18" s="27" t="n">
        <v>43496</v>
      </c>
      <c r="E18" s="27" t="n">
        <v>44438</v>
      </c>
      <c r="F18" s="27" t="n">
        <v>44574</v>
      </c>
      <c r="G18" s="27" t="n">
        <v>49317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</row>
    <row r="19">
      <c r="A19" s="26" t="inlineStr">
        <is>
          <t>기타비용률</t>
        </is>
      </c>
      <c r="B19" s="2" t="inlineStr">
        <is>
          <t>other_ratio</t>
        </is>
      </c>
      <c r="C19" s="2" t="inlineStr">
        <is>
          <t>%</t>
        </is>
      </c>
      <c r="D19" s="23" t="n">
        <v>0</v>
      </c>
      <c r="E19" s="23" t="n">
        <v>0</v>
      </c>
      <c r="F19" s="23" t="n">
        <v>0</v>
      </c>
      <c r="G19" s="23" t="n">
        <v>0</v>
      </c>
      <c r="H19" s="24" t="n">
        <v>0.75</v>
      </c>
      <c r="I19" s="24" t="n">
        <v>0.749</v>
      </c>
      <c r="J19" s="24" t="n">
        <v>0.748</v>
      </c>
      <c r="K19" s="24" t="n">
        <v>0.747</v>
      </c>
      <c r="L19" s="24" t="n">
        <v>0.746</v>
      </c>
    </row>
    <row r="20">
      <c r="A20" s="25" t="inlineStr">
        <is>
          <t>총매출</t>
        </is>
      </c>
      <c r="B20" s="2" t="inlineStr">
        <is>
          <t>total_revenue</t>
        </is>
      </c>
      <c r="C20" s="2" t="inlineStr">
        <is>
          <t>억원</t>
        </is>
      </c>
      <c r="D20" s="16">
        <f>(((D21+D24)+D27)+D30)</f>
        <v/>
      </c>
      <c r="E20" s="16">
        <f>(((E21+E24)+E27)+E30)</f>
        <v/>
      </c>
      <c r="F20" s="16">
        <f>(((F21+F24)+F27)+F30)</f>
        <v/>
      </c>
      <c r="G20" s="16">
        <f>(((G21+G24)+G27)+G30)</f>
        <v/>
      </c>
      <c r="H20" s="17">
        <f>(((H21+H24)+H27)+H30)</f>
        <v/>
      </c>
      <c r="I20" s="17">
        <f>(((I21+I24)+I27)+I30)</f>
        <v/>
      </c>
      <c r="J20" s="17">
        <f>(((J21+J24)+J27)+J30)</f>
        <v/>
      </c>
      <c r="K20" s="17">
        <f>(((K21+K24)+K27)+K30)</f>
        <v/>
      </c>
      <c r="L20" s="17">
        <f>(((L21+L24)+L27)+L30)</f>
        <v/>
      </c>
    </row>
    <row r="21">
      <c r="A21" s="26" t="inlineStr">
        <is>
          <t>담배</t>
        </is>
      </c>
      <c r="B21" s="2" t="inlineStr">
        <is>
          <t>tobacco</t>
        </is>
      </c>
      <c r="C21" s="2" t="inlineStr">
        <is>
          <t>억원</t>
        </is>
      </c>
      <c r="D21" s="16">
        <f>IF((D22&gt;0),D22,(0*(1+D23)))</f>
        <v/>
      </c>
      <c r="E21" s="16">
        <f>IF((E22&gt;0),E22,(D21*(1+E23)))</f>
        <v/>
      </c>
      <c r="F21" s="16">
        <f>IF((F22&gt;0),F22,(E21*(1+F23)))</f>
        <v/>
      </c>
      <c r="G21" s="16">
        <f>IF((G22&gt;0),G22,(F21*(1+G23)))</f>
        <v/>
      </c>
      <c r="H21" s="17">
        <f>IF((H22&gt;0),H22,(G21*(1+H23)))</f>
        <v/>
      </c>
      <c r="I21" s="17">
        <f>IF((I22&gt;0),I22,(H21*(1+I23)))</f>
        <v/>
      </c>
      <c r="J21" s="17">
        <f>IF((J22&gt;0),J22,(I21*(1+J23)))</f>
        <v/>
      </c>
      <c r="K21" s="17">
        <f>IF((K22&gt;0),K22,(J21*(1+K23)))</f>
        <v/>
      </c>
      <c r="L21" s="17">
        <f>IF((L22&gt;0),L22,(K21*(1+L23)))</f>
        <v/>
      </c>
    </row>
    <row r="22">
      <c r="A22" s="26" t="inlineStr">
        <is>
          <t>담배 실적</t>
        </is>
      </c>
      <c r="B22" s="2" t="inlineStr">
        <is>
          <t>tob_actual</t>
        </is>
      </c>
      <c r="C22" s="2" t="inlineStr">
        <is>
          <t>억원</t>
        </is>
      </c>
      <c r="D22" s="27" t="n">
        <v>35738</v>
      </c>
      <c r="E22" s="27" t="n">
        <v>36123</v>
      </c>
      <c r="F22" s="27" t="n">
        <v>39056</v>
      </c>
      <c r="G22" s="27" t="n">
        <v>43672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담배 성장률</t>
        </is>
      </c>
      <c r="B23" s="2" t="inlineStr">
        <is>
          <t>tob_g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0.07000000000000001</v>
      </c>
      <c r="I23" s="24" t="n">
        <v>0.06</v>
      </c>
      <c r="J23" s="24" t="n">
        <v>0.05</v>
      </c>
      <c r="K23" s="24" t="n">
        <v>0.04</v>
      </c>
      <c r="L23" s="24" t="n">
        <v>0.03</v>
      </c>
    </row>
    <row r="24">
      <c r="A24" s="26" t="inlineStr">
        <is>
          <t>인삼 (KGC)</t>
        </is>
      </c>
      <c r="B24" s="2" t="inlineStr">
        <is>
          <t>ginseng</t>
        </is>
      </c>
      <c r="C24" s="2" t="inlineStr">
        <is>
          <t>억원</t>
        </is>
      </c>
      <c r="D24" s="16">
        <f>IF((D25&gt;0),D25,(0*(1+D26)))</f>
        <v/>
      </c>
      <c r="E24" s="16">
        <f>IF((E25&gt;0),E25,(D24*(1+E26)))</f>
        <v/>
      </c>
      <c r="F24" s="16">
        <f>IF((F25&gt;0),F25,(E24*(1+F26)))</f>
        <v/>
      </c>
      <c r="G24" s="16">
        <f>IF((G25&gt;0),G25,(F24*(1+G26)))</f>
        <v/>
      </c>
      <c r="H24" s="17">
        <f>IF((H25&gt;0),H25,(G24*(1+H26)))</f>
        <v/>
      </c>
      <c r="I24" s="17">
        <f>IF((I25&gt;0),I25,(H24*(1+I26)))</f>
        <v/>
      </c>
      <c r="J24" s="17">
        <f>IF((J25&gt;0),J25,(I24*(1+J26)))</f>
        <v/>
      </c>
      <c r="K24" s="17">
        <f>IF((K25&gt;0),K25,(J24*(1+K26)))</f>
        <v/>
      </c>
      <c r="L24" s="17">
        <f>IF((L25&gt;0),L25,(K24*(1+L26)))</f>
        <v/>
      </c>
    </row>
    <row r="25">
      <c r="A25" s="26" t="inlineStr">
        <is>
          <t>인삼 실적</t>
        </is>
      </c>
      <c r="B25" s="2" t="inlineStr">
        <is>
          <t>gin_actual</t>
        </is>
      </c>
      <c r="C25" s="2" t="inlineStr">
        <is>
          <t>억원</t>
        </is>
      </c>
      <c r="D25" s="27" t="n">
        <v>13890</v>
      </c>
      <c r="E25" s="27" t="n">
        <v>13935</v>
      </c>
      <c r="F25" s="27" t="n">
        <v>13016</v>
      </c>
      <c r="G25" s="27" t="n">
        <v>11370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</row>
    <row r="26">
      <c r="A26" s="26" t="inlineStr">
        <is>
          <t>인삼 성장률</t>
        </is>
      </c>
      <c r="B26" s="2" t="inlineStr">
        <is>
          <t>gin_g</t>
        </is>
      </c>
      <c r="C26" s="2" t="inlineStr">
        <is>
          <t>%</t>
        </is>
      </c>
      <c r="D26" s="23" t="n">
        <v>0</v>
      </c>
      <c r="E26" s="23" t="n">
        <v>0</v>
      </c>
      <c r="F26" s="23" t="n">
        <v>0</v>
      </c>
      <c r="G26" s="23" t="n">
        <v>0</v>
      </c>
      <c r="H26" s="24" t="n">
        <v>-0.03</v>
      </c>
      <c r="I26" s="24" t="n">
        <v>0</v>
      </c>
      <c r="J26" s="24" t="n">
        <v>0.01</v>
      </c>
      <c r="K26" s="24" t="n">
        <v>0.01</v>
      </c>
      <c r="L26" s="24" t="n">
        <v>0.01</v>
      </c>
    </row>
    <row r="27">
      <c r="A27" s="26" t="inlineStr">
        <is>
          <t>부동산</t>
        </is>
      </c>
      <c r="B27" s="2" t="inlineStr">
        <is>
          <t>estate</t>
        </is>
      </c>
      <c r="C27" s="2" t="inlineStr">
        <is>
          <t>억원</t>
        </is>
      </c>
      <c r="D27" s="16">
        <f>IF((D28&gt;0),D28,(0*(1+D29)))</f>
        <v/>
      </c>
      <c r="E27" s="16">
        <f>IF((E28&gt;0),E28,(D27*(1+E29)))</f>
        <v/>
      </c>
      <c r="F27" s="16">
        <f>IF((F28&gt;0),F28,(E27*(1+F29)))</f>
        <v/>
      </c>
      <c r="G27" s="16">
        <f>IF((G28&gt;0),G28,(F27*(1+G29)))</f>
        <v/>
      </c>
      <c r="H27" s="17">
        <f>IF((H28&gt;0),H28,(G27*(1+H29)))</f>
        <v/>
      </c>
      <c r="I27" s="17">
        <f>IF((I28&gt;0),I28,(H27*(1+I29)))</f>
        <v/>
      </c>
      <c r="J27" s="17">
        <f>IF((J28&gt;0),J28,(I27*(1+J29)))</f>
        <v/>
      </c>
      <c r="K27" s="17">
        <f>IF((K28&gt;0),K28,(J27*(1+K29)))</f>
        <v/>
      </c>
      <c r="L27" s="17">
        <f>IF((L28&gt;0),L28,(K27*(1+L29)))</f>
        <v/>
      </c>
    </row>
    <row r="28">
      <c r="A28" s="26" t="inlineStr">
        <is>
          <t>부동산 실적</t>
        </is>
      </c>
      <c r="B28" s="2" t="inlineStr">
        <is>
          <t>est_actual</t>
        </is>
      </c>
      <c r="C28" s="2" t="inlineStr">
        <is>
          <t>억원</t>
        </is>
      </c>
      <c r="D28" s="27" t="n">
        <v>6071</v>
      </c>
      <c r="E28" s="27" t="n">
        <v>5501</v>
      </c>
      <c r="F28" s="27" t="n">
        <v>3613</v>
      </c>
      <c r="G28" s="27" t="n">
        <v>7127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</row>
    <row r="29">
      <c r="A29" s="26" t="inlineStr">
        <is>
          <t>부동산 성장률</t>
        </is>
      </c>
      <c r="B29" s="2" t="inlineStr">
        <is>
          <t>est_g</t>
        </is>
      </c>
      <c r="C29" s="2" t="inlineStr">
        <is>
          <t>%</t>
        </is>
      </c>
      <c r="D29" s="23" t="n">
        <v>0</v>
      </c>
      <c r="E29" s="23" t="n">
        <v>0</v>
      </c>
      <c r="F29" s="23" t="n">
        <v>0</v>
      </c>
      <c r="G29" s="23" t="n">
        <v>0</v>
      </c>
      <c r="H29" s="24" t="n">
        <v>-0.2</v>
      </c>
      <c r="I29" s="24" t="n">
        <v>-0.02</v>
      </c>
      <c r="J29" s="24" t="n">
        <v>0</v>
      </c>
      <c r="K29" s="24" t="n">
        <v>0</v>
      </c>
      <c r="L29" s="24" t="n">
        <v>0</v>
      </c>
    </row>
    <row r="30">
      <c r="A30" s="26" t="inlineStr">
        <is>
          <t>기타</t>
        </is>
      </c>
      <c r="B30" s="2" t="inlineStr">
        <is>
          <t>etc</t>
        </is>
      </c>
      <c r="C30" s="2" t="inlineStr">
        <is>
          <t>억원</t>
        </is>
      </c>
      <c r="D30" s="16">
        <f>IF((D31&gt;0),D31,(0*(1+D32)))</f>
        <v/>
      </c>
      <c r="E30" s="16">
        <f>IF((E31&gt;0),E31,(D30*(1+E32)))</f>
        <v/>
      </c>
      <c r="F30" s="16">
        <f>IF((F31&gt;0),F31,(E30*(1+F32)))</f>
        <v/>
      </c>
      <c r="G30" s="16">
        <f>IF((G31&gt;0),G31,(F30*(1+G32)))</f>
        <v/>
      </c>
      <c r="H30" s="17">
        <f>IF((H31&gt;0),H31,(G30*(1+H32)))</f>
        <v/>
      </c>
      <c r="I30" s="17">
        <f>IF((I31&gt;0),I31,(H30*(1+I32)))</f>
        <v/>
      </c>
      <c r="J30" s="17">
        <f>IF((J31&gt;0),J31,(I30*(1+J32)))</f>
        <v/>
      </c>
      <c r="K30" s="17">
        <f>IF((K31&gt;0),K31,(J30*(1+K32)))</f>
        <v/>
      </c>
      <c r="L30" s="17">
        <f>IF((L31&gt;0),L31,(K30*(1+L32)))</f>
        <v/>
      </c>
    </row>
    <row r="31">
      <c r="A31" s="26" t="inlineStr">
        <is>
          <t>기타 실적</t>
        </is>
      </c>
      <c r="B31" s="2" t="inlineStr">
        <is>
          <t>etc_actual</t>
        </is>
      </c>
      <c r="C31" s="2" t="inlineStr">
        <is>
          <t>억원</t>
        </is>
      </c>
      <c r="D31" s="27" t="n">
        <v>2815</v>
      </c>
      <c r="E31" s="27" t="n">
        <v>3067</v>
      </c>
      <c r="F31" s="27" t="n">
        <v>3403</v>
      </c>
      <c r="G31" s="27" t="n">
        <v>3628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</row>
    <row r="32">
      <c r="A32" s="26" t="inlineStr">
        <is>
          <t>기타 성장률</t>
        </is>
      </c>
      <c r="B32" s="2" t="inlineStr">
        <is>
          <t>etc_g</t>
        </is>
      </c>
      <c r="C32" s="2" t="inlineStr">
        <is>
          <t>%</t>
        </is>
      </c>
      <c r="D32" s="23" t="n">
        <v>0</v>
      </c>
      <c r="E32" s="23" t="n">
        <v>0</v>
      </c>
      <c r="F32" s="23" t="n">
        <v>0</v>
      </c>
      <c r="G32" s="23" t="n">
        <v>0</v>
      </c>
      <c r="H32" s="24" t="n">
        <v>0.05</v>
      </c>
      <c r="I32" s="24" t="n">
        <v>0.05</v>
      </c>
      <c r="J32" s="24" t="n">
        <v>0.04</v>
      </c>
      <c r="K32" s="24" t="n">
        <v>0.04</v>
      </c>
      <c r="L32" s="24" t="n">
        <v>0.03</v>
      </c>
    </row>
    <row r="33">
      <c r="A33" s="21" t="inlineStr">
        <is>
          <t>CAPEX</t>
        </is>
      </c>
      <c r="B33" s="2" t="inlineStr">
        <is>
          <t>capex</t>
        </is>
      </c>
      <c r="C33" s="2" t="inlineStr">
        <is>
          <t>억원</t>
        </is>
      </c>
      <c r="D33" s="16">
        <f>IF((D34&gt;0),D34,(D20*D35))</f>
        <v/>
      </c>
      <c r="E33" s="16">
        <f>IF((E34&gt;0),E34,(E20*E35))</f>
        <v/>
      </c>
      <c r="F33" s="16">
        <f>IF((F34&gt;0),F34,(F20*F35))</f>
        <v/>
      </c>
      <c r="G33" s="16">
        <f>IF((G34&gt;0),G34,(G20*G35))</f>
        <v/>
      </c>
      <c r="H33" s="17">
        <f>IF((H34&gt;0),H34,(H20*H35))</f>
        <v/>
      </c>
      <c r="I33" s="17">
        <f>IF((I34&gt;0),I34,(I20*I35))</f>
        <v/>
      </c>
      <c r="J33" s="17">
        <f>IF((J34&gt;0),J34,(J20*J35))</f>
        <v/>
      </c>
      <c r="K33" s="17">
        <f>IF((K34&gt;0),K34,(K20*K35))</f>
        <v/>
      </c>
      <c r="L33" s="17">
        <f>IF((L34&gt;0),L34,(L20*L35))</f>
        <v/>
      </c>
    </row>
    <row r="34">
      <c r="A34" s="22" t="inlineStr">
        <is>
          <t>CAPEX 실적</t>
        </is>
      </c>
      <c r="B34" s="2" t="inlineStr">
        <is>
          <t>capex_actual</t>
        </is>
      </c>
      <c r="C34" s="2" t="inlineStr">
        <is>
          <t>억원</t>
        </is>
      </c>
      <c r="D34" s="27" t="n">
        <v>2829</v>
      </c>
      <c r="E34" s="27" t="n">
        <v>5134</v>
      </c>
      <c r="F34" s="27" t="n">
        <v>7972</v>
      </c>
      <c r="G34" s="27" t="n">
        <v>6745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</v>
      </c>
    </row>
    <row r="35">
      <c r="A35" s="22" t="inlineStr">
        <is>
          <t>CAPEX 비율</t>
        </is>
      </c>
      <c r="B35" s="2" t="inlineStr">
        <is>
          <t>capex_ratio</t>
        </is>
      </c>
      <c r="C35" s="2" t="inlineStr">
        <is>
          <t>%</t>
        </is>
      </c>
      <c r="D35" s="23" t="n">
        <v>0</v>
      </c>
      <c r="E35" s="23" t="n">
        <v>0</v>
      </c>
      <c r="F35" s="23" t="n">
        <v>0</v>
      </c>
      <c r="G35" s="23" t="n">
        <v>0</v>
      </c>
      <c r="H35" s="24" t="n">
        <v>0.095</v>
      </c>
      <c r="I35" s="24" t="n">
        <v>0.09</v>
      </c>
      <c r="J35" s="24" t="n">
        <v>0.08500000000000001</v>
      </c>
      <c r="K35" s="24" t="n">
        <v>0.08</v>
      </c>
      <c r="L35" s="24" t="n">
        <v>0.075</v>
      </c>
    </row>
    <row r="36">
      <c r="A36" s="20" t="inlineStr">
        <is>
          <t>할인계수</t>
        </is>
      </c>
      <c r="B36" s="2" t="inlineStr">
        <is>
          <t>df</t>
        </is>
      </c>
      <c r="C36" s="2" t="inlineStr">
        <is>
          <t>배</t>
        </is>
      </c>
      <c r="D36" s="16">
        <f>IF((D37&gt;0),1,(0/(1+D38)))</f>
        <v/>
      </c>
      <c r="E36" s="16">
        <f>IF((E37&gt;0),1,(D36/(1+E38)))</f>
        <v/>
      </c>
      <c r="F36" s="16">
        <f>IF((F37&gt;0),1,(E36/(1+F38)))</f>
        <v/>
      </c>
      <c r="G36" s="16">
        <f>IF((G37&gt;0),1,(F36/(1+G38)))</f>
        <v/>
      </c>
      <c r="H36" s="17">
        <f>IF((H37&gt;0),1,(G36/(1+H38)))</f>
        <v/>
      </c>
      <c r="I36" s="17">
        <f>IF((I37&gt;0),1,(H36/(1+I38)))</f>
        <v/>
      </c>
      <c r="J36" s="17">
        <f>IF((J37&gt;0),1,(I36/(1+J38)))</f>
        <v/>
      </c>
      <c r="K36" s="17">
        <f>IF((K37&gt;0),1,(J36/(1+K38)))</f>
        <v/>
      </c>
      <c r="L36" s="17">
        <f>IF((L37&gt;0),1,(K36/(1+L38)))</f>
        <v/>
      </c>
    </row>
    <row r="37">
      <c r="A37" s="21" t="inlineStr">
        <is>
          <t>실적 구간 표시</t>
        </is>
      </c>
      <c r="B37" s="2" t="inlineStr">
        <is>
          <t>df_hist</t>
        </is>
      </c>
      <c r="C37" s="2" t="inlineStr"/>
      <c r="D37" s="27" t="n">
        <v>1</v>
      </c>
      <c r="E37" s="27" t="n">
        <v>1</v>
      </c>
      <c r="F37" s="27" t="n">
        <v>1</v>
      </c>
      <c r="G37" s="27" t="n">
        <v>1</v>
      </c>
      <c r="H37" s="28" t="n">
        <v>0</v>
      </c>
      <c r="I37" s="28" t="n">
        <v>0</v>
      </c>
      <c r="J37" s="28" t="n">
        <v>0</v>
      </c>
      <c r="K37" s="28" t="n">
        <v>0</v>
      </c>
      <c r="L37" s="28" t="n">
        <v>0</v>
      </c>
    </row>
    <row r="38">
      <c r="A38" s="21" t="inlineStr">
        <is>
          <t>WACC</t>
        </is>
      </c>
      <c r="B38" s="2" t="inlineStr">
        <is>
          <t>wacc</t>
        </is>
      </c>
      <c r="C38" s="2" t="inlineStr">
        <is>
          <t>%</t>
        </is>
      </c>
      <c r="D38" s="23" t="n">
        <v>0.08</v>
      </c>
      <c r="E38" s="23" t="n">
        <v>0.08</v>
      </c>
      <c r="F38" s="23" t="n">
        <v>0.08</v>
      </c>
      <c r="G38" s="23" t="n">
        <v>0.08</v>
      </c>
      <c r="H38" s="24" t="n">
        <v>0.08</v>
      </c>
      <c r="I38" s="24" t="n">
        <v>0.08</v>
      </c>
      <c r="J38" s="24" t="n">
        <v>0.08</v>
      </c>
      <c r="K38" s="24" t="n">
        <v>0.08</v>
      </c>
      <c r="L38" s="24" t="n">
        <v>0.08</v>
      </c>
    </row>
    <row r="39">
      <c r="A39" s="18" t="inlineStr">
        <is>
          <t>잔존가치 PV</t>
        </is>
      </c>
      <c r="B39" s="2" t="inlineStr">
        <is>
          <t>tv_pv</t>
        </is>
      </c>
      <c r="C39" s="2" t="inlineStr">
        <is>
          <t>억원</t>
        </is>
      </c>
      <c r="D39" s="16">
        <f>(((D9*(1+D40))/(D38-D40))*D36)</f>
        <v/>
      </c>
      <c r="E39" s="16">
        <f>(((E9*(1+E40))/(E38-E40))*E36)</f>
        <v/>
      </c>
      <c r="F39" s="16">
        <f>(((F9*(1+F40))/(F38-F40))*F36)</f>
        <v/>
      </c>
      <c r="G39" s="16">
        <f>(((G9*(1+G40))/(G38-G40))*G36)</f>
        <v/>
      </c>
      <c r="H39" s="17">
        <f>(((H9*(1+H40))/(H38-H40))*H36)</f>
        <v/>
      </c>
      <c r="I39" s="17">
        <f>(((I9*(1+I40))/(I38-I40))*I36)</f>
        <v/>
      </c>
      <c r="J39" s="17">
        <f>(((J9*(1+J40))/(J38-J40))*J36)</f>
        <v/>
      </c>
      <c r="K39" s="17">
        <f>(((K9*(1+K40))/(K38-K40))*K36)</f>
        <v/>
      </c>
      <c r="L39" s="17">
        <f>(((L9*(1+L40))/(L38-L40))*L36)</f>
        <v/>
      </c>
    </row>
    <row r="40">
      <c r="A40" s="19" t="inlineStr">
        <is>
          <t>영구성장률</t>
        </is>
      </c>
      <c r="B40" s="2" t="inlineStr">
        <is>
          <t>tv_growth</t>
        </is>
      </c>
      <c r="C40" s="2" t="inlineStr">
        <is>
          <t>%</t>
        </is>
      </c>
      <c r="D40" s="23" t="n">
        <v>0.01</v>
      </c>
      <c r="E40" s="23" t="n">
        <v>0.01</v>
      </c>
      <c r="F40" s="23" t="n">
        <v>0.01</v>
      </c>
      <c r="G40" s="23" t="n">
        <v>0.01</v>
      </c>
      <c r="H40" s="24" t="n">
        <v>0.01</v>
      </c>
      <c r="I40" s="24" t="n">
        <v>0.01</v>
      </c>
      <c r="J40" s="24" t="n">
        <v>0.01</v>
      </c>
      <c r="K40" s="24" t="n">
        <v>0.01</v>
      </c>
      <c r="L40" s="24" t="n">
        <v>0.01</v>
      </c>
    </row>
    <row r="41">
      <c r="A41" s="15" t="inlineStr">
        <is>
          <t>순차입금</t>
        </is>
      </c>
      <c r="B41" s="2" t="inlineStr">
        <is>
          <t>net_debt</t>
        </is>
      </c>
      <c r="C41" s="2" t="inlineStr">
        <is>
          <t>억원</t>
        </is>
      </c>
      <c r="D41" s="27" t="n">
        <v>-12455</v>
      </c>
      <c r="E41" s="27" t="n">
        <v>-4964</v>
      </c>
      <c r="F41" s="27" t="n">
        <v>3375</v>
      </c>
      <c r="G41" s="27" t="n">
        <v>8556</v>
      </c>
      <c r="H41" s="28" t="n">
        <v>8556</v>
      </c>
      <c r="I41" s="28" t="n">
        <v>8556</v>
      </c>
      <c r="J41" s="28" t="n">
        <v>8556</v>
      </c>
      <c r="K41" s="28" t="n">
        <v>8556</v>
      </c>
      <c r="L41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'=(H6-H41)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'=(H7+H39)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'=(G7+(H8*(1-H37)))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'=(H9*H36)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'=((H10+H14)-H33)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'=(H20-H13)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13</v>
      </c>
      <c r="D12" s="29" t="inlineStr">
        <is>
          <t>dep_total + other_cost</t>
        </is>
      </c>
      <c r="E12" s="11" t="inlineStr">
        <is>
          <t>'=(H14+H17)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14</v>
      </c>
      <c r="D13" s="29" t="inlineStr">
        <is>
          <t>IF(dep_actual &gt; 0, dep_actual, PREV(dep_total) * (1 + dep_g))</t>
        </is>
      </c>
      <c r="E13" s="11" t="inlineStr">
        <is>
          <t>'=IF((H15&gt;0),H15,(G14*(1+H16)))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17</v>
      </c>
      <c r="D14" s="29" t="inlineStr">
        <is>
          <t>IF(other_actual &gt; 0, other_actual, total_revenue * other_ratio)</t>
        </is>
      </c>
      <c r="E14" s="11" t="inlineStr">
        <is>
          <t>'=IF((H18&gt;0),H18,(H20*H19))</t>
        </is>
      </c>
    </row>
    <row r="15">
      <c r="A15" s="2" t="inlineStr">
        <is>
          <t>total_revenue</t>
        </is>
      </c>
      <c r="B15" s="5" t="inlineStr">
        <is>
          <t>총매출</t>
        </is>
      </c>
      <c r="C15" s="2" t="n">
        <v>20</v>
      </c>
      <c r="D15" s="29" t="inlineStr">
        <is>
          <t>tobacco + ginseng + estate + etc</t>
        </is>
      </c>
      <c r="E15" s="11" t="inlineStr">
        <is>
          <t>'=(((H21+H24)+H27)+H30)</t>
        </is>
      </c>
    </row>
    <row r="16">
      <c r="A16" s="2" t="inlineStr">
        <is>
          <t>tobacco</t>
        </is>
      </c>
      <c r="B16" s="5" t="inlineStr">
        <is>
          <t>담배</t>
        </is>
      </c>
      <c r="C16" s="2" t="n">
        <v>21</v>
      </c>
      <c r="D16" s="29" t="inlineStr">
        <is>
          <t>IF(tob_actual &gt; 0, tob_actual, PREV(tobacco) * (1 + tob_g))</t>
        </is>
      </c>
      <c r="E16" s="11" t="inlineStr">
        <is>
          <t>'=IF((H22&gt;0),H22,(G21*(1+H23)))</t>
        </is>
      </c>
    </row>
    <row r="17">
      <c r="A17" s="2" t="inlineStr">
        <is>
          <t>ginseng</t>
        </is>
      </c>
      <c r="B17" s="5" t="inlineStr">
        <is>
          <t>인삼 (KGC)</t>
        </is>
      </c>
      <c r="C17" s="2" t="n">
        <v>24</v>
      </c>
      <c r="D17" s="29" t="inlineStr">
        <is>
          <t>IF(gin_actual &gt; 0, gin_actual, PREV(ginseng) * (1 + gin_g))</t>
        </is>
      </c>
      <c r="E17" s="11" t="inlineStr">
        <is>
          <t>'=IF((H25&gt;0),H25,(G24*(1+H26)))</t>
        </is>
      </c>
    </row>
    <row r="18">
      <c r="A18" s="2" t="inlineStr">
        <is>
          <t>estate</t>
        </is>
      </c>
      <c r="B18" s="5" t="inlineStr">
        <is>
          <t>부동산</t>
        </is>
      </c>
      <c r="C18" s="2" t="n">
        <v>27</v>
      </c>
      <c r="D18" s="29" t="inlineStr">
        <is>
          <t>IF(est_actual &gt; 0, est_actual, PREV(estate) * (1 + est_g))</t>
        </is>
      </c>
      <c r="E18" s="11" t="inlineStr">
        <is>
          <t>'=IF((H28&gt;0),H28,(G27*(1+H29)))</t>
        </is>
      </c>
    </row>
    <row r="19">
      <c r="A19" s="2" t="inlineStr">
        <is>
          <t>etc</t>
        </is>
      </c>
      <c r="B19" s="5" t="inlineStr">
        <is>
          <t>기타</t>
        </is>
      </c>
      <c r="C19" s="2" t="n">
        <v>30</v>
      </c>
      <c r="D19" s="29" t="inlineStr">
        <is>
          <t>IF(etc_actual &gt; 0, etc_actual, PREV(etc) * (1 + etc_g))</t>
        </is>
      </c>
      <c r="E19" s="11" t="inlineStr">
        <is>
          <t>'=IF((H31&gt;0),H31,(G30*(1+H32)))</t>
        </is>
      </c>
    </row>
    <row r="20">
      <c r="A20" s="2" t="inlineStr">
        <is>
          <t>capex</t>
        </is>
      </c>
      <c r="B20" s="5" t="inlineStr">
        <is>
          <t>CAPEX</t>
        </is>
      </c>
      <c r="C20" s="2" t="n">
        <v>33</v>
      </c>
      <c r="D20" s="29" t="inlineStr">
        <is>
          <t>IF(capex_actual &gt; 0, capex_actual, total_revenue * capex_ratio)</t>
        </is>
      </c>
      <c r="E20" s="11" t="inlineStr">
        <is>
          <t>'=IF((H34&gt;0),H34,(H20*H35))</t>
        </is>
      </c>
    </row>
    <row r="21">
      <c r="A21" s="2" t="inlineStr">
        <is>
          <t>df</t>
        </is>
      </c>
      <c r="B21" s="5" t="inlineStr">
        <is>
          <t>할인계수</t>
        </is>
      </c>
      <c r="C21" s="2" t="n">
        <v>36</v>
      </c>
      <c r="D21" s="29" t="inlineStr">
        <is>
          <t>IF(df_hist &gt; 0, 1, PREV(df) / (1 + wacc))</t>
        </is>
      </c>
      <c r="E21" s="11" t="inlineStr">
        <is>
          <t>'=IF((H37&gt;0),1,(G36/(1+H38)))</t>
        </is>
      </c>
    </row>
    <row r="22">
      <c r="A22" s="2" t="inlineStr">
        <is>
          <t>tv_pv</t>
        </is>
      </c>
      <c r="B22" s="5" t="inlineStr">
        <is>
          <t>잔존가치 PV</t>
        </is>
      </c>
      <c r="C22" s="2" t="n">
        <v>39</v>
      </c>
      <c r="D22" s="29" t="inlineStr">
        <is>
          <t>fcf * (1 + tv_growth) / (wacc - tv_growth) * df</t>
        </is>
      </c>
      <c r="E22" s="11" t="inlineStr">
        <is>
          <t>'=(((H9*(1+H40))/(H38-H40))*H36)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total_cost</t>
        </is>
      </c>
      <c r="B12" s="36" t="inlineStr">
        <is>
          <t>총비용</t>
        </is>
      </c>
      <c r="C12" t="n">
        <v>7</v>
      </c>
      <c r="D12" t="inlineStr">
        <is>
          <t>computed</t>
        </is>
      </c>
      <c r="E12" t="inlineStr">
        <is>
          <t>Y</t>
        </is>
      </c>
      <c r="F12" t="n">
        <v>13</v>
      </c>
      <c r="G12" t="inlineStr">
        <is>
          <t>억원</t>
        </is>
      </c>
    </row>
    <row r="13">
      <c r="A13" s="2" t="inlineStr">
        <is>
          <t>dep_total</t>
        </is>
      </c>
      <c r="B13" s="37" t="inlineStr">
        <is>
          <t>감가상각비</t>
        </is>
      </c>
      <c r="C13" t="n">
        <v>8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dep_actual</t>
        </is>
      </c>
      <c r="B14" s="37" t="inlineStr">
        <is>
          <t>감가상각비 실적</t>
        </is>
      </c>
      <c r="C14" t="n">
        <v>9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dep_g</t>
        </is>
      </c>
      <c r="B15" s="37" t="inlineStr">
        <is>
          <t>감가상각 증가율</t>
        </is>
      </c>
      <c r="C15" t="n">
        <v>9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other_cost</t>
        </is>
      </c>
      <c r="B16" s="37" t="inlineStr">
        <is>
          <t>기타비용</t>
        </is>
      </c>
      <c r="C16" t="n">
        <v>8</v>
      </c>
      <c r="D16" t="inlineStr">
        <is>
          <t>computed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other_actual</t>
        </is>
      </c>
      <c r="B17" s="37" t="inlineStr">
        <is>
          <t>기타비용 실적</t>
        </is>
      </c>
      <c r="C17" t="n">
        <v>9</v>
      </c>
      <c r="D17" t="inlineStr">
        <is>
          <t>input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other_ratio</t>
        </is>
      </c>
      <c r="B18" s="37" t="inlineStr">
        <is>
          <t>기타비용률</t>
        </is>
      </c>
      <c r="C18" t="n">
        <v>9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total_revenue</t>
        </is>
      </c>
      <c r="B19" s="36" t="inlineStr">
        <is>
          <t>총매출</t>
        </is>
      </c>
      <c r="C19" t="n">
        <v>7</v>
      </c>
      <c r="D19" t="inlineStr">
        <is>
          <t>computed</t>
        </is>
      </c>
      <c r="E19" t="inlineStr">
        <is>
          <t>Y</t>
        </is>
      </c>
      <c r="F19" t="n">
        <v>20</v>
      </c>
      <c r="G19" t="inlineStr">
        <is>
          <t>억원</t>
        </is>
      </c>
    </row>
    <row r="20">
      <c r="A20" s="2" t="inlineStr">
        <is>
          <t>tobacco</t>
        </is>
      </c>
      <c r="B20" s="37" t="inlineStr">
        <is>
          <t>담배</t>
        </is>
      </c>
      <c r="C20" t="n">
        <v>8</v>
      </c>
      <c r="D20" t="inlineStr">
        <is>
          <t>computed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tob_actual</t>
        </is>
      </c>
      <c r="B21" s="37" t="inlineStr">
        <is>
          <t>담배 실적</t>
        </is>
      </c>
      <c r="C21" t="n">
        <v>9</v>
      </c>
      <c r="D21" t="inlineStr">
        <is>
          <t>input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tob_g</t>
        </is>
      </c>
      <c r="B22" s="37" t="inlineStr">
        <is>
          <t>담배 성장률</t>
        </is>
      </c>
      <c r="C22" t="n">
        <v>9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ginseng</t>
        </is>
      </c>
      <c r="B23" s="37" t="inlineStr">
        <is>
          <t>인삼 (KGC)</t>
        </is>
      </c>
      <c r="C23" t="n">
        <v>8</v>
      </c>
      <c r="D23" t="inlineStr">
        <is>
          <t>computed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gin_actual</t>
        </is>
      </c>
      <c r="B24" s="37" t="inlineStr">
        <is>
          <t>인삼 실적</t>
        </is>
      </c>
      <c r="C24" t="n">
        <v>9</v>
      </c>
      <c r="D24" t="inlineStr">
        <is>
          <t>input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gin_g</t>
        </is>
      </c>
      <c r="B25" s="37" t="inlineStr">
        <is>
          <t>인삼 성장률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estate</t>
        </is>
      </c>
      <c r="B26" s="37" t="inlineStr">
        <is>
          <t>부동산</t>
        </is>
      </c>
      <c r="C26" t="n">
        <v>8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est_actual</t>
        </is>
      </c>
      <c r="B27" s="37" t="inlineStr">
        <is>
          <t>부동산 실적</t>
        </is>
      </c>
      <c r="C27" t="n">
        <v>9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est_g</t>
        </is>
      </c>
      <c r="B28" s="37" t="inlineStr">
        <is>
          <t>부동산 성장률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etc</t>
        </is>
      </c>
      <c r="B29" s="37" t="inlineStr">
        <is>
          <t>기타</t>
        </is>
      </c>
      <c r="C29" t="n">
        <v>8</v>
      </c>
      <c r="D29" t="inlineStr">
        <is>
          <t>computed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etc_actual</t>
        </is>
      </c>
      <c r="B30" s="37" t="inlineStr">
        <is>
          <t>기타 실적</t>
        </is>
      </c>
      <c r="C30" t="n">
        <v>9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etc_g</t>
        </is>
      </c>
      <c r="B31" s="37" t="inlineStr">
        <is>
          <t>기타 성장률</t>
        </is>
      </c>
      <c r="C31" t="n">
        <v>9</v>
      </c>
      <c r="D31" t="inlineStr">
        <is>
          <t>input</t>
        </is>
      </c>
      <c r="E31" t="inlineStr"/>
      <c r="F31" t="n">
        <v>32</v>
      </c>
      <c r="G31" t="inlineStr">
        <is>
          <t>%</t>
        </is>
      </c>
    </row>
    <row r="32">
      <c r="A32" s="2" t="inlineStr">
        <is>
          <t>capex</t>
        </is>
      </c>
      <c r="B32" s="34" t="inlineStr">
        <is>
          <t>CAPEX</t>
        </is>
      </c>
      <c r="C32" t="n">
        <v>5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capex_actual</t>
        </is>
      </c>
      <c r="B33" s="35" t="inlineStr">
        <is>
          <t>CAPEX 실적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capex_ratio</t>
        </is>
      </c>
      <c r="B34" s="35" t="inlineStr">
        <is>
          <t>CAPEX 비율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df</t>
        </is>
      </c>
      <c r="B35" s="33" t="inlineStr">
        <is>
          <t>할인계수</t>
        </is>
      </c>
      <c r="C35" t="n">
        <v>4</v>
      </c>
      <c r="D35" t="inlineStr">
        <is>
          <t>computed</t>
        </is>
      </c>
      <c r="E35" t="inlineStr"/>
      <c r="F35" t="n">
        <v>36</v>
      </c>
      <c r="G35" t="inlineStr">
        <is>
          <t>배</t>
        </is>
      </c>
    </row>
    <row r="36">
      <c r="A36" s="2" t="inlineStr">
        <is>
          <t>df_hist</t>
        </is>
      </c>
      <c r="B36" s="34" t="inlineStr">
        <is>
          <t>실적 구간 표시</t>
        </is>
      </c>
      <c r="C36" t="n">
        <v>5</v>
      </c>
      <c r="D36" t="inlineStr">
        <is>
          <t>input</t>
        </is>
      </c>
      <c r="E36" t="inlineStr"/>
      <c r="F36" t="n">
        <v>37</v>
      </c>
      <c r="G36" t="inlineStr"/>
    </row>
    <row r="37">
      <c r="A37" s="2" t="inlineStr">
        <is>
          <t>wacc</t>
        </is>
      </c>
      <c r="B37" s="34" t="inlineStr">
        <is>
          <t>WACC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tv_pv</t>
        </is>
      </c>
      <c r="B38" s="31" t="inlineStr">
        <is>
          <t>잔존가치 PV</t>
        </is>
      </c>
      <c r="C38" t="n">
        <v>2</v>
      </c>
      <c r="D38" t="inlineStr">
        <is>
          <t>computed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tv_growth</t>
        </is>
      </c>
      <c r="B39" s="32" t="inlineStr">
        <is>
          <t>영구성장률</t>
        </is>
      </c>
      <c r="C39" t="n">
        <v>3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net_debt</t>
        </is>
      </c>
      <c r="B40" s="30" t="inlineStr">
        <is>
          <t>순차입금</t>
        </is>
      </c>
      <c r="C40" t="n">
        <v>1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ROUND(Model!D6-(Model!D7+Model!D39),6)</f>
        <v/>
      </c>
      <c r="E5" s="38">
        <f>ROUND(Model!E6-(Model!E7+Model!E39),6)</f>
        <v/>
      </c>
      <c r="F5" s="38">
        <f>ROUND(Model!F6-(Model!F7+Model!F39),6)</f>
        <v/>
      </c>
      <c r="G5" s="38">
        <f>ROUND(Model!G6-(Model!G7+Model!G39),6)</f>
        <v/>
      </c>
      <c r="H5" s="38">
        <f>ROUND(Model!H6-(Model!H7+Model!H39),6)</f>
        <v/>
      </c>
      <c r="I5" s="38">
        <f>ROUND(Model!I6-(Model!I7+Model!I39),6)</f>
        <v/>
      </c>
      <c r="J5" s="38">
        <f>ROUND(Model!J6-(Model!J7+Model!J39),6)</f>
        <v/>
      </c>
      <c r="K5" s="38">
        <f>ROUND(Model!K6-(Model!K7+Model!K39),6)</f>
        <v/>
      </c>
      <c r="L5" s="38">
        <f>ROUND(Model!L6-(Model!L7+Model!L39),6)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ROUND(Model!D13-(Model!D14+Model!D17),6)</f>
        <v/>
      </c>
      <c r="E6" s="38">
        <f>ROUND(Model!E13-(Model!E14+Model!E17),6)</f>
        <v/>
      </c>
      <c r="F6" s="38">
        <f>ROUND(Model!F13-(Model!F14+Model!F17),6)</f>
        <v/>
      </c>
      <c r="G6" s="38">
        <f>ROUND(Model!G13-(Model!G14+Model!G17),6)</f>
        <v/>
      </c>
      <c r="H6" s="38">
        <f>ROUND(Model!H13-(Model!H14+Model!H17),6)</f>
        <v/>
      </c>
      <c r="I6" s="38">
        <f>ROUND(Model!I13-(Model!I14+Model!I17),6)</f>
        <v/>
      </c>
      <c r="J6" s="38">
        <f>ROUND(Model!J13-(Model!J14+Model!J17),6)</f>
        <v/>
      </c>
      <c r="K6" s="38">
        <f>ROUND(Model!K13-(Model!K14+Model!K17),6)</f>
        <v/>
      </c>
      <c r="L6" s="38">
        <f>ROUND(Model!L13-(Model!L14+Model!L17),6)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ROUND(Model!D20-(Model!D21+Model!D24+Model!D27+Model!D30),6)</f>
        <v/>
      </c>
      <c r="E7" s="38">
        <f>ROUND(Model!E20-(Model!E21+Model!E24+Model!E27+Model!E30),6)</f>
        <v/>
      </c>
      <c r="F7" s="38">
        <f>ROUND(Model!F20-(Model!F21+Model!F24+Model!F27+Model!F30),6)</f>
        <v/>
      </c>
      <c r="G7" s="38">
        <f>ROUND(Model!G20-(Model!G21+Model!G24+Model!G27+Model!G30),6)</f>
        <v/>
      </c>
      <c r="H7" s="38">
        <f>ROUND(Model!H20-(Model!H21+Model!H24+Model!H27+Model!H30),6)</f>
        <v/>
      </c>
      <c r="I7" s="38">
        <f>ROUND(Model!I20-(Model!I21+Model!I24+Model!I27+Model!I30),6)</f>
        <v/>
      </c>
      <c r="J7" s="38">
        <f>ROUND(Model!J20-(Model!J21+Model!J24+Model!J27+Model!J30),6)</f>
        <v/>
      </c>
      <c r="K7" s="38">
        <f>ROUND(Model!K20-(Model!K21+Model!K24+Model!K27+Model!K30),6)</f>
        <v/>
      </c>
      <c r="L7" s="38">
        <f>ROUND(Model!L20-(Model!L21+Model!L24+Model!L27+Model!L30),6)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d885f2c549b759e4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37</v>
      </c>
    </row>
    <row r="8">
      <c r="A8" s="4" t="inlineStr">
        <is>
          <t>입력 노드 수</t>
        </is>
      </c>
      <c r="B8" t="n">
        <v>19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
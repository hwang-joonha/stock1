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trol" sheetId="2" state="visible" r:id="rId2"/>
    <sheet name="Assumptions" sheetId="3" state="visible" r:id="rId3"/>
    <sheet name="Model" sheetId="4" state="visible" r:id="rId4"/>
    <sheet name="Formula Audit" sheetId="5" state="visible" r:id="rId5"/>
    <sheet name="Structure" sheetId="6" state="visible" r:id="rId6"/>
    <sheet name="Check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-* #,##0_-;_-* &quot;-&quot;_-;_-@_-"/>
    <numFmt numFmtId="165" formatCode="0.0%"/>
    <numFmt numFmtId="166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E2185"/>
      <sz val="13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1F4E9C"/>
      <sz val="10"/>
    </font>
  </fonts>
  <fills count="6">
    <fill>
      <patternFill/>
    </fill>
    <fill>
      <patternFill patternType="gray125"/>
    </fill>
    <fill>
      <patternFill patternType="solid">
        <fgColor rgb="001E2185"/>
      </patternFill>
    </fill>
    <fill>
      <patternFill patternType="solid">
        <fgColor rgb="00EFEFF2"/>
      </patternFill>
    </fill>
    <fill>
      <patternFill patternType="solid">
        <fgColor rgb="00EDF3FF"/>
      </patternFill>
    </fill>
    <fill>
      <patternFill patternType="solid">
        <fgColor rgb="00DFE8FF"/>
      </patternFill>
    </fill>
  </fills>
  <borders count="2">
    <border>
      <left/>
      <right/>
      <top/>
      <bottom/>
      <diagonal/>
    </border>
    <border>
      <bottom style="thin">
        <color rgb="00D8DCE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6" fillId="3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vertical="top" wrapText="1"/>
    </xf>
    <xf numFmtId="165" fontId="6" fillId="3" borderId="0" pivotButton="0" quotePrefix="0" xfId="0"/>
    <xf numFmtId="165" fontId="6" fillId="0" borderId="0" pivotButton="0" quotePrefix="0" xfId="0"/>
    <xf numFmtId="164" fontId="5" fillId="5" borderId="1" pivotButton="0" quotePrefix="0" xfId="0"/>
    <xf numFmtId="0" fontId="4" fillId="0" borderId="0" applyAlignment="1" pivotButton="0" quotePrefix="0" xfId="0">
      <alignment indent="1"/>
    </xf>
    <xf numFmtId="164" fontId="5" fillId="3" borderId="1" pivotButton="0" quotePrefix="0" xfId="0"/>
    <xf numFmtId="164" fontId="5" fillId="0" borderId="1" pivotButton="0" quotePrefix="0" xfId="0"/>
    <xf numFmtId="0" fontId="5" fillId="0" borderId="0" applyAlignment="1" pivotButton="0" quotePrefix="0" xfId="0">
      <alignment indent="2"/>
    </xf>
    <xf numFmtId="164" fontId="6" fillId="3" borderId="1" pivotButton="0" quotePrefix="0" xfId="0"/>
    <xf numFmtId="164" fontId="6" fillId="0" borderId="1" pivotButton="0" quotePrefix="0" xfId="0"/>
    <xf numFmtId="0" fontId="5" fillId="0" borderId="0" applyAlignment="1" pivotButton="0" quotePrefix="0" xfId="0">
      <alignment indent="3"/>
    </xf>
    <xf numFmtId="0" fontId="5" fillId="0" borderId="0" applyAlignment="1" pivotButton="0" quotePrefix="0" xfId="0">
      <alignment indent="4"/>
    </xf>
    <xf numFmtId="0" fontId="5" fillId="0" borderId="0" applyAlignment="1" pivotButton="0" quotePrefix="0" xfId="0">
      <alignment indent="5"/>
    </xf>
    <xf numFmtId="165" fontId="6" fillId="3" borderId="1" pivotButton="0" quotePrefix="0" xfId="0"/>
    <xf numFmtId="165" fontId="6" fillId="0" borderId="1" pivotButton="0" quotePrefix="0" xfId="0"/>
    <xf numFmtId="0" fontId="5" fillId="0" borderId="0" applyAlignment="1" pivotButton="0" quotePrefix="0" xfId="0">
      <alignment indent="6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5"/>
    </xf>
    <xf numFmtId="0" fontId="0" fillId="0" borderId="0" applyAlignment="1" pivotButton="0" quotePrefix="0" xfId="0">
      <alignment indent="6"/>
    </xf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케이엠더블유 투자심사 모델</t>
        </is>
      </c>
    </row>
    <row r="2">
      <c r="A2" s="2" t="inlineStr">
        <is>
          <t>tools/build_excel.py가 model.html에서 생성. 직접 고치지 말 것 — 다음 빌드에 덮인다.</t>
        </is>
      </c>
    </row>
    <row r="4">
      <c r="A4" s="3" t="inlineStr">
        <is>
          <t>시트</t>
        </is>
      </c>
      <c r="B4" s="3" t="inlineStr">
        <is>
          <t>내용</t>
        </is>
      </c>
    </row>
    <row r="5">
      <c r="A5" s="4" t="inlineStr">
        <is>
          <t>Index</t>
        </is>
      </c>
      <c r="B5" s="5" t="inlineStr">
        <is>
          <t>이 시트</t>
        </is>
      </c>
    </row>
    <row r="6">
      <c r="A6" s="4" t="inlineStr">
        <is>
          <t>Control</t>
        </is>
      </c>
      <c r="B6" s="5" t="inlineStr">
        <is>
          <t>모델 개요·전역 설정</t>
        </is>
      </c>
    </row>
    <row r="7">
      <c r="A7" s="4" t="inlineStr">
        <is>
          <t>Assumptions</t>
        </is>
      </c>
      <c r="B7" s="5" t="inlineStr">
        <is>
          <t>가정변수 일람과 근거</t>
        </is>
      </c>
    </row>
    <row r="8">
      <c r="A8" s="4" t="inlineStr">
        <is>
          <t>Model</t>
        </is>
      </c>
      <c r="B8" s="5" t="inlineStr">
        <is>
          <t>계정 트리 × 연도. 수식이 살아있는 본체</t>
        </is>
      </c>
    </row>
    <row r="9">
      <c r="A9" s="4" t="inlineStr">
        <is>
          <t>Formula Audit</t>
        </is>
      </c>
      <c r="B9" s="5" t="inlineStr">
        <is>
          <t>모델 원식 ↔ 셀 수식 대조</t>
        </is>
      </c>
    </row>
    <row r="10">
      <c r="A10" s="4" t="inlineStr">
        <is>
          <t>Structure</t>
        </is>
      </c>
      <c r="B10" s="5" t="inlineStr">
        <is>
          <t>트리 구조·깊이·행 배치</t>
        </is>
      </c>
    </row>
    <row r="11">
      <c r="A11" s="4" t="inlineStr">
        <is>
          <t>Checks</t>
        </is>
      </c>
      <c r="B11" s="5" t="inlineStr">
        <is>
          <t>부모 = 자식 합 정합 검증</t>
        </is>
      </c>
    </row>
    <row r="12">
      <c r="A12" s="4" t="inlineStr">
        <is>
          <t>Metadata</t>
        </is>
      </c>
      <c r="B12" s="5" t="inlineStr">
        <is>
          <t>빌드 정보</t>
        </is>
      </c>
    </row>
    <row r="14">
      <c r="A14" s="4" t="inlineStr">
        <is>
          <t>셀 색 규약</t>
        </is>
      </c>
    </row>
    <row r="15">
      <c r="A15" s="2" t="inlineStr">
        <is>
          <t>파랑 글자</t>
        </is>
      </c>
      <c r="B15" s="2" t="inlineStr">
        <is>
          <t>하드코딩 입력값 — 여기만 고친다</t>
        </is>
      </c>
    </row>
    <row r="16">
      <c r="A16" s="2" t="inlineStr">
        <is>
          <t>검정 글자</t>
        </is>
      </c>
      <c r="B16" s="2" t="inlineStr">
        <is>
          <t>수식</t>
        </is>
      </c>
    </row>
    <row r="17">
      <c r="A17" s="2" t="inlineStr">
        <is>
          <t>회색 배경</t>
        </is>
      </c>
      <c r="B17" s="2" t="inlineStr">
        <is>
          <t>실적(Historical) 구간 — 공시 확정값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컨트롤</t>
        </is>
      </c>
    </row>
    <row r="2">
      <c r="A2" s="2" t="inlineStr">
        <is>
          <t>가정을 바꾸려면 Assumptions 시트가 아니라 Model 시트의 파랑 셀을 고친다. Model이 계산의 단일 출처다.</t>
        </is>
      </c>
    </row>
    <row r="4">
      <c r="A4" s="4" t="inlineStr">
        <is>
          <t>모델</t>
        </is>
      </c>
      <c r="B4" t="inlineStr">
        <is>
          <t>케이엠더블유 투자심사 모델</t>
        </is>
      </c>
    </row>
    <row r="5">
      <c r="A5" s="4" t="inlineStr">
        <is>
          <t>통화 단위</t>
        </is>
      </c>
      <c r="B5" t="inlineStr">
        <is>
          <t>억원</t>
        </is>
      </c>
    </row>
    <row r="6">
      <c r="A6" s="4" t="inlineStr">
        <is>
          <t>범위</t>
        </is>
      </c>
      <c r="B6" t="inlineStr">
        <is>
          <t>품목 매출 → 영업이익 → 밸류에이션 (사이클 중립)</t>
        </is>
      </c>
    </row>
    <row r="7">
      <c r="A7" s="4" t="inlineStr">
        <is>
          <t>실적 연도 수 (HIST_N)</t>
        </is>
      </c>
      <c r="B7" t="n">
        <v>5</v>
      </c>
    </row>
    <row r="8">
      <c r="A8" s="4" t="inlineStr">
        <is>
          <t>추정 연도 수</t>
        </is>
      </c>
      <c r="B8" t="n">
        <v>5</v>
      </c>
    </row>
    <row r="9">
      <c r="A9" s="4" t="inlineStr">
        <is>
          <t>첫 연도</t>
        </is>
      </c>
      <c r="B9" t="inlineStr">
        <is>
          <t>2021</t>
        </is>
      </c>
    </row>
    <row r="10">
      <c r="A10" s="4" t="inlineStr">
        <is>
          <t>마지막 연도</t>
        </is>
      </c>
      <c r="B10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90" customWidth="1" min="14" max="14"/>
  </cols>
  <sheetData>
    <row r="1">
      <c r="A1" s="1" t="inlineStr">
        <is>
          <t>가정변수 일람</t>
        </is>
      </c>
    </row>
    <row r="2">
      <c r="A2" s="2" t="inlineStr">
        <is>
          <t>파랑 = 하드코딩 입력값. 근거 열의 대괄호 태그가 객관/주관 구분이다.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  <c r="N4" s="3" t="inlineStr">
        <is>
          <t>근거</t>
        </is>
      </c>
    </row>
    <row r="5">
      <c r="A5" s="5" t="inlineStr">
        <is>
          <t>목표 EV/EBITDA</t>
        </is>
      </c>
      <c r="B5" s="2" t="inlineStr">
        <is>
          <t>target_ev_ebitda</t>
        </is>
      </c>
      <c r="C5" s="2" t="inlineStr">
        <is>
          <t>배</t>
        </is>
      </c>
      <c r="D5" s="9" t="n">
        <v>8</v>
      </c>
      <c r="E5" s="9" t="n">
        <v>8</v>
      </c>
      <c r="F5" s="9" t="n">
        <v>8</v>
      </c>
      <c r="G5" s="9" t="n">
        <v>8</v>
      </c>
      <c r="H5" s="9" t="n">
        <v>8</v>
      </c>
      <c r="I5" s="10" t="n">
        <v>8</v>
      </c>
      <c r="J5" s="10" t="n">
        <v>8</v>
      </c>
      <c r="K5" s="10" t="n">
        <v>8</v>
      </c>
      <c r="L5" s="10" t="n">
        <v>8</v>
      </c>
      <c r="M5" s="10" t="n">
        <v>8</v>
      </c>
      <c r="N5" s="11" t="inlineStr">
        <is>
          <t>[주관·시나리오] 8배. 근거는 피어의 사이클 중립 구간 — 흑자 안정 쏠리드 2026E 11.0·Fwd 8.9배, LIG아큐버 6.8배, 성숙 유선(유비쿼스) 2.6배. 테마 상단(RFHIC 18.6배)을 상단 실적 추정에 곱하면 이중 계상이라 중간인 8배를 2030 정상화 EBITDA에 적용한다. Bull 10배 / Bear 6배.</t>
        </is>
      </c>
    </row>
    <row r="6">
      <c r="A6" s="5" t="inlineStr">
        <is>
          <t>순이익 실적 마스크</t>
        </is>
      </c>
      <c r="B6" s="2" t="inlineStr">
        <is>
          <t>ni_hist</t>
        </is>
      </c>
      <c r="C6" s="2" t="inlineStr"/>
      <c r="D6" s="9" t="n">
        <v>1</v>
      </c>
      <c r="E6" s="9" t="n">
        <v>1</v>
      </c>
      <c r="F6" s="9" t="n">
        <v>1</v>
      </c>
      <c r="G6" s="9" t="n">
        <v>1</v>
      </c>
      <c r="H6" s="9" t="n">
        <v>1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1" t="inlineStr">
        <is>
          <t>[객관] 실적 연도 표시(1). 전 연도 적자라 hist 마스크 관용구를 쓴다.</t>
        </is>
      </c>
    </row>
    <row r="7">
      <c r="A7" s="5" t="inlineStr">
        <is>
          <t>순이익 실적</t>
        </is>
      </c>
      <c r="B7" s="2" t="inlineStr">
        <is>
          <t>ni_actual</t>
        </is>
      </c>
      <c r="C7" s="2" t="inlineStr">
        <is>
          <t>억원</t>
        </is>
      </c>
      <c r="D7" s="9" t="n">
        <v>-37.29376178</v>
      </c>
      <c r="E7" s="9" t="n">
        <v>-266.86462958</v>
      </c>
      <c r="F7" s="9" t="n">
        <v>-652.86675524</v>
      </c>
      <c r="G7" s="9" t="n">
        <v>-386.0414071</v>
      </c>
      <c r="H7" s="9" t="n">
        <v>-270.3304712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1" t="inlineStr">
        <is>
          <t>[객관] 연결 포괄손익계산서 확정값 (지배 = 전체, 비지배 0).</t>
        </is>
      </c>
    </row>
    <row r="8">
      <c r="A8" s="5" t="inlineStr">
        <is>
          <t>영업외손익</t>
        </is>
      </c>
      <c r="B8" s="2" t="inlineStr">
        <is>
          <t>nonop</t>
        </is>
      </c>
      <c r="C8" s="2" t="inlineStr">
        <is>
          <t>억원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10" t="n">
        <v>-85</v>
      </c>
      <c r="J8" s="10" t="n">
        <v>-40</v>
      </c>
      <c r="K8" s="10" t="n">
        <v>-25</v>
      </c>
      <c r="L8" s="10" t="n">
        <v>-15</v>
      </c>
      <c r="M8" s="10" t="n">
        <v>-10</v>
      </c>
      <c r="N8" s="11" t="inlineStr">
        <is>
          <t>[주관 추정] 실적 연도는 마스크가 덮으므로 추정 구간만 쓴다. 이자비용과 전환사채 파생 평가손이 지배 — 2026 상반기에만 영업외 −81억이 났다 (세전 −200.7 대 영업 −120.0). 2026년 −85억에서 차입 축소를 가정하며 −10억까지 완화. 조달이 늘면 이 가정부터 깨진다.</t>
        </is>
      </c>
    </row>
    <row r="9">
      <c r="A9" s="5" t="inlineStr">
        <is>
          <t>실효세율</t>
        </is>
      </c>
      <c r="B9" s="2" t="inlineStr">
        <is>
          <t>tax_rate</t>
        </is>
      </c>
      <c r="C9" s="2" t="inlineStr">
        <is>
          <t>%</t>
        </is>
      </c>
      <c r="D9" s="12" t="n">
        <v>0.08</v>
      </c>
      <c r="E9" s="12" t="n">
        <v>0.08</v>
      </c>
      <c r="F9" s="12" t="n">
        <v>0.08</v>
      </c>
      <c r="G9" s="12" t="n">
        <v>0.08</v>
      </c>
      <c r="H9" s="12" t="n">
        <v>0.08</v>
      </c>
      <c r="I9" s="13" t="n">
        <v>0.08</v>
      </c>
      <c r="J9" s="13" t="n">
        <v>0.08</v>
      </c>
      <c r="K9" s="13" t="n">
        <v>0.08</v>
      </c>
      <c r="L9" s="13" t="n">
        <v>0.08</v>
      </c>
      <c r="M9" s="13" t="n">
        <v>0.08</v>
      </c>
      <c r="N9" s="11" t="inlineStr">
        <is>
          <t>[주관] 8%. 누적 결손금(2025말 이월결손 약 617억 + 세무상 결손)이 커서 흑자 전환 후 수년간 이월결손공제(한도 80%)로 실효세율이 법정세율을 크게 밑돈다. 적자 연도에는 마스크(실적) 또는 음수 이익에 곱해져 영향이 작다.</t>
        </is>
      </c>
    </row>
    <row r="10">
      <c r="A10" s="5" t="inlineStr">
        <is>
          <t>지배지분비율</t>
        </is>
      </c>
      <c r="B10" s="2" t="inlineStr">
        <is>
          <t>ctrl_ratio</t>
        </is>
      </c>
      <c r="C10" s="2" t="inlineStr">
        <is>
          <t>%</t>
        </is>
      </c>
      <c r="D10" s="12" t="n">
        <v>1</v>
      </c>
      <c r="E10" s="12" t="n">
        <v>1</v>
      </c>
      <c r="F10" s="12" t="n">
        <v>1</v>
      </c>
      <c r="G10" s="12" t="n">
        <v>1</v>
      </c>
      <c r="H10" s="12" t="n">
        <v>1</v>
      </c>
      <c r="I10" s="13" t="n">
        <v>1</v>
      </c>
      <c r="J10" s="13" t="n">
        <v>1</v>
      </c>
      <c r="K10" s="13" t="n">
        <v>1</v>
      </c>
      <c r="L10" s="13" t="n">
        <v>1</v>
      </c>
      <c r="M10" s="13" t="n">
        <v>1</v>
      </c>
      <c r="N10" s="11" t="inlineStr">
        <is>
          <t>[객관] 1.0 — 비지배지분 0 (연결 전액 지배주주 귀속).</t>
        </is>
      </c>
    </row>
    <row r="11">
      <c r="A11" s="5" t="inlineStr">
        <is>
          <t>발행주식수</t>
        </is>
      </c>
      <c r="B11" s="2" t="inlineStr">
        <is>
          <t>shares</t>
        </is>
      </c>
      <c r="C11" s="2" t="inlineStr">
        <is>
          <t>백만주</t>
        </is>
      </c>
      <c r="D11" s="9" t="n">
        <v>42.1917</v>
      </c>
      <c r="E11" s="9" t="n">
        <v>42.1917</v>
      </c>
      <c r="F11" s="9" t="n">
        <v>42.1917</v>
      </c>
      <c r="G11" s="9" t="n">
        <v>42.1917</v>
      </c>
      <c r="H11" s="9" t="n">
        <v>42.1917</v>
      </c>
      <c r="I11" s="10" t="n">
        <v>42.1917</v>
      </c>
      <c r="J11" s="10" t="n">
        <v>42.1917</v>
      </c>
      <c r="K11" s="10" t="n">
        <v>42.1917</v>
      </c>
      <c r="L11" s="10" t="n">
        <v>42.1917</v>
      </c>
      <c r="M11" s="10" t="n">
        <v>42.1917</v>
      </c>
      <c r="N11" s="11" t="inlineStr">
        <is>
          <t>[객관] 42.19백만주 (2026-09 현재, 하나증권·WISEreport 일치). 2025말 40.93백만주에서 CB 전환으로 증가 — 전환 잔량이 남아 있어 추가 희석 여지.</t>
        </is>
      </c>
    </row>
    <row r="12">
      <c r="A12" s="5" t="inlineStr">
        <is>
          <t>DPS 실적</t>
        </is>
      </c>
      <c r="B12" s="2" t="inlineStr">
        <is>
          <t>dps_a</t>
        </is>
      </c>
      <c r="C12" s="2" t="inlineStr">
        <is>
          <t>원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 t="inlineStr">
        <is>
          <t>[객관] 전 연도 0 — 배당 이력 없음(누적 결손).</t>
        </is>
      </c>
    </row>
    <row r="13">
      <c r="A13" s="5" t="inlineStr">
        <is>
          <t>배당성향</t>
        </is>
      </c>
      <c r="B13" s="2" t="inlineStr">
        <is>
          <t>payout</t>
        </is>
      </c>
      <c r="C13" s="2" t="inlineStr">
        <is>
          <t>%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1" t="inlineStr">
        <is>
          <t>[주관] 0. 결손 해소 전 배당 가능성 없음.</t>
        </is>
      </c>
    </row>
    <row r="14">
      <c r="A14" s="5" t="inlineStr">
        <is>
          <t>FILTER 실적</t>
        </is>
      </c>
      <c r="B14" s="2" t="inlineStr">
        <is>
          <t>fil_actual</t>
        </is>
      </c>
      <c r="C14" s="2" t="inlineStr">
        <is>
          <t>억원</t>
        </is>
      </c>
      <c r="D14" s="9" t="n">
        <v>1107.9802105</v>
      </c>
      <c r="E14" s="9" t="n">
        <v>1365.93379726</v>
      </c>
      <c r="F14" s="9" t="n">
        <v>634.4128766699999</v>
      </c>
      <c r="G14" s="9" t="n">
        <v>351.95147199</v>
      </c>
      <c r="H14" s="9" t="n">
        <v>572.82624961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1" t="inlineStr">
        <is>
          <t>[객관] 사업보고서 II-4 매출실적(연결). 합계 정합을 위해 IS 매출에서 역산 — 공시 표와 최대 0.007억 차이(표가 백만원 반올림).</t>
        </is>
      </c>
    </row>
    <row r="15">
      <c r="A15" s="5" t="inlineStr">
        <is>
          <t>FILTER 성장률</t>
        </is>
      </c>
      <c r="B15" s="2" t="inlineStr">
        <is>
          <t>fil_g</t>
        </is>
      </c>
      <c r="C15" s="2" t="inlineStr">
        <is>
          <t>%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3" t="n">
        <v>0.0213</v>
      </c>
      <c r="J15" s="13" t="n">
        <v>0.5</v>
      </c>
      <c r="K15" s="13" t="n">
        <v>0.45</v>
      </c>
      <c r="L15" s="13" t="n">
        <v>0.22</v>
      </c>
      <c r="M15" s="13" t="n">
        <v>0.1</v>
      </c>
      <c r="N15" s="11" t="inlineStr">
        <is>
          <t>[주관] 2026 +2.1%(상반기 확정이 전사 −10.9%라 크게 못 늘림), 2027 +50% · 2028 +45% — 미국 어퍼C밴드 경매(2027.4)의 부분 수혜를 하반기부터 반영. 검증 안 된 것: 삼성전자의 버라이즌 벤더 선정, 그 안의 KMW 채택. 수주 공시가 없어 하나증권처럼 2027 +259%(전사)를 Base에 둘 근거가 없다 — 그 경로는 Bull.</t>
        </is>
      </c>
    </row>
    <row r="16">
      <c r="A16" s="5" t="inlineStr">
        <is>
          <t>ANTENNA 실적</t>
        </is>
      </c>
      <c r="B16" s="2" t="inlineStr">
        <is>
          <t>ant_actual</t>
        </is>
      </c>
      <c r="C16" s="2" t="inlineStr">
        <is>
          <t>억원</t>
        </is>
      </c>
      <c r="D16" s="9" t="n">
        <v>165.43</v>
      </c>
      <c r="E16" s="9" t="n">
        <v>102.23</v>
      </c>
      <c r="F16" s="9" t="n">
        <v>131.59</v>
      </c>
      <c r="G16" s="9" t="n">
        <v>233.83</v>
      </c>
      <c r="H16" s="9" t="n">
        <v>189.74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1" t="inlineStr">
        <is>
          <t>[객관] 사업보고서 II-4 매출실적(연결, 백만원 공시).</t>
        </is>
      </c>
    </row>
    <row r="17">
      <c r="A17" s="5" t="inlineStr">
        <is>
          <t>ANTENNA 성장률</t>
        </is>
      </c>
      <c r="B17" s="2" t="inlineStr">
        <is>
          <t>ant_g</t>
        </is>
      </c>
      <c r="C17" s="2" t="inlineStr">
        <is>
          <t>%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3" t="n">
        <v>-0.07770000000000001</v>
      </c>
      <c r="J17" s="13" t="n">
        <v>0.4</v>
      </c>
      <c r="K17" s="13" t="n">
        <v>0.38</v>
      </c>
      <c r="L17" s="13" t="n">
        <v>0.2</v>
      </c>
      <c r="M17" s="13" t="n">
        <v>0.1</v>
      </c>
      <c r="N17" s="11" t="inlineStr">
        <is>
          <t>[주관] 2026 −7.8%(상반기 역성장 반영), 2027~2028 +40%·+38% — 경매 후 기지국 신설 물량의 부분 수혜.</t>
        </is>
      </c>
    </row>
    <row r="18">
      <c r="A18" s="5" t="inlineStr">
        <is>
          <t>SYSTEM 실적</t>
        </is>
      </c>
      <c r="B18" s="2" t="inlineStr">
        <is>
          <t>sys_actual</t>
        </is>
      </c>
      <c r="C18" s="2" t="inlineStr">
        <is>
          <t>억원</t>
        </is>
      </c>
      <c r="D18" s="9" t="n">
        <v>631.9</v>
      </c>
      <c r="E18" s="9" t="n">
        <v>152.44</v>
      </c>
      <c r="F18" s="9" t="n">
        <v>52.62</v>
      </c>
      <c r="G18" s="9" t="n">
        <v>134.79</v>
      </c>
      <c r="H18" s="9" t="n">
        <v>21.45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1" t="inlineStr">
        <is>
          <t>[객관] 사업보고서 II-4 매출실적(연결). 2021부터 RTS 제품을 SYSTEM류로 분류(FY2022 보고서 주석) — 2021은 그 기준.</t>
        </is>
      </c>
    </row>
    <row r="19">
      <c r="A19" s="5" t="inlineStr">
        <is>
          <t>SYSTEM 성장률</t>
        </is>
      </c>
      <c r="B19" s="2" t="inlineStr">
        <is>
          <t>sys_g</t>
        </is>
      </c>
      <c r="C19" s="2" t="inlineStr">
        <is>
          <t>%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3" t="n">
        <v>0.1655</v>
      </c>
      <c r="J19" s="13" t="n">
        <v>1.8</v>
      </c>
      <c r="K19" s="13" t="n">
        <v>1.2</v>
      </c>
      <c r="L19" s="13" t="n">
        <v>0.35</v>
      </c>
      <c r="M19" s="13" t="n">
        <v>0.15</v>
      </c>
      <c r="N19" s="11" t="inlineStr">
        <is>
          <t>[주관] 기저가 21억이라 성장률 숫자가 크게 보이지만 2030년에도 239억 — 2021년(632억)의 38% 회복이다. 국내 3.7GHz 경매(2027 가능성)가 실리는 품목이나 아직 일정·물량 모두 미정.</t>
        </is>
      </c>
    </row>
    <row r="20">
      <c r="A20" s="5" t="inlineStr">
        <is>
          <t>LED 실적</t>
        </is>
      </c>
      <c r="B20" s="2" t="inlineStr">
        <is>
          <t>led_actual</t>
        </is>
      </c>
      <c r="C20" s="2" t="inlineStr">
        <is>
          <t>억원</t>
        </is>
      </c>
      <c r="D20" s="9" t="n">
        <v>146.28</v>
      </c>
      <c r="E20" s="9" t="n">
        <v>174.02</v>
      </c>
      <c r="F20" s="9" t="n">
        <v>182.06</v>
      </c>
      <c r="G20" s="9" t="n">
        <v>153</v>
      </c>
      <c r="H20" s="9" t="n">
        <v>191.17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1" t="inlineStr">
        <is>
          <t>[객관] 사업보고서 II-4 매출실적(연결, 백만원 공시).</t>
        </is>
      </c>
    </row>
    <row r="21">
      <c r="A21" s="5" t="inlineStr">
        <is>
          <t>LED 성장률</t>
        </is>
      </c>
      <c r="B21" s="2" t="inlineStr">
        <is>
          <t>led_g</t>
        </is>
      </c>
      <c r="C21" s="2" t="inlineStr">
        <is>
          <t>%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3" t="n">
        <v>-0.08459999999999999</v>
      </c>
      <c r="J21" s="13" t="n">
        <v>0.05</v>
      </c>
      <c r="K21" s="13" t="n">
        <v>0.04</v>
      </c>
      <c r="L21" s="13" t="n">
        <v>0.03</v>
      </c>
      <c r="M21" s="13" t="n">
        <v>0.03</v>
      </c>
      <c r="N21" s="11" t="inlineStr">
        <is>
          <t>[주관] 2026 −8.5%(상반기 부진 반영) 후 +3~5% 횡보 — 성장 스토리 없음.</t>
        </is>
      </c>
    </row>
    <row r="22">
      <c r="A22" s="5" t="inlineStr">
        <is>
          <t>매출원가 실적</t>
        </is>
      </c>
      <c r="B22" s="2" t="inlineStr">
        <is>
          <t>cogs_actual</t>
        </is>
      </c>
      <c r="C22" s="2" t="inlineStr">
        <is>
          <t>억원</t>
        </is>
      </c>
      <c r="D22" s="9" t="n">
        <v>1550.0633301</v>
      </c>
      <c r="E22" s="9" t="n">
        <v>1466.41475247</v>
      </c>
      <c r="F22" s="9" t="n">
        <v>929.3210315699999</v>
      </c>
      <c r="G22" s="9" t="n">
        <v>754.98514598</v>
      </c>
      <c r="H22" s="9" t="n">
        <v>845.1603744400001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1" t="inlineStr">
        <is>
          <t>[객관] 연결 포괄손익계산서 확정값.</t>
        </is>
      </c>
    </row>
    <row r="23">
      <c r="A23" s="5" t="inlineStr">
        <is>
          <t>매출원가율</t>
        </is>
      </c>
      <c r="B23" s="2" t="inlineStr">
        <is>
          <t>cogs_ratio</t>
        </is>
      </c>
      <c r="C23" s="2" t="inlineStr">
        <is>
          <t>%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3" t="n">
        <v>0.865</v>
      </c>
      <c r="J23" s="13" t="n">
        <v>0.825</v>
      </c>
      <c r="K23" s="13" t="n">
        <v>0.775</v>
      </c>
      <c r="L23" s="13" t="n">
        <v>0.75</v>
      </c>
      <c r="M23" s="13" t="n">
        <v>0.735</v>
      </c>
      <c r="N23" s="11" t="inlineStr">
        <is>
          <t>[주관] 2026 86.5%(상반기 87.3%에서 하반기 소폭 개선) → 2030 73.5%. 물량 회복에 따른 고정비 흡수를 반영하되 2020년 실적(70.7%) 복귀는 Bull에서만 — 5G 초기의 단가 환경은 재현을 가정할 근거가 없다.</t>
        </is>
      </c>
    </row>
    <row r="24">
      <c r="A24" s="5" t="inlineStr">
        <is>
          <t>판관비 실적</t>
        </is>
      </c>
      <c r="B24" s="2" t="inlineStr">
        <is>
          <t>sga_actual</t>
        </is>
      </c>
      <c r="C24" s="2" t="inlineStr">
        <is>
          <t>억원</t>
        </is>
      </c>
      <c r="D24" s="9" t="n">
        <v>368.2950056</v>
      </c>
      <c r="E24" s="9" t="n">
        <v>359.35578633</v>
      </c>
      <c r="F24" s="9" t="n">
        <v>322.71133399</v>
      </c>
      <c r="G24" s="9" t="n">
        <v>290.65845793</v>
      </c>
      <c r="H24" s="9" t="n">
        <v>253.92502871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1" t="inlineStr">
        <is>
          <t>[객관] 연결 포괄손익계산서 확정값 (경상연구개발비 별도).</t>
        </is>
      </c>
    </row>
    <row r="25">
      <c r="A25" s="5" t="inlineStr">
        <is>
          <t>판관비 증가율</t>
        </is>
      </c>
      <c r="B25" s="2" t="inlineStr">
        <is>
          <t>sga_g</t>
        </is>
      </c>
      <c r="C25" s="2" t="inlineStr">
        <is>
          <t>%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3" t="n">
        <v>-0.015</v>
      </c>
      <c r="J25" s="13" t="n">
        <v>0.08799999999999999</v>
      </c>
      <c r="K25" s="13" t="n">
        <v>0.103</v>
      </c>
      <c r="L25" s="13" t="n">
        <v>0.083</v>
      </c>
      <c r="M25" s="13" t="n">
        <v>0.062</v>
      </c>
      <c r="N25" s="11" t="inlineStr">
        <is>
          <t>[주관] 2026 −1.5%(절감 지속, 상반기 125억) 후 회복 국면에서 재증가 — 2030년 345억, 2021년 수준(368억) 미만. 인력을 다시 뽑지 않고 매출이 2.7배가 되는 모델은 성립하지 않는다.</t>
        </is>
      </c>
    </row>
    <row r="26">
      <c r="A26" s="5" t="inlineStr">
        <is>
          <t>연구개발비 실적</t>
        </is>
      </c>
      <c r="B26" s="2" t="inlineStr">
        <is>
          <t>rnd_actual</t>
        </is>
      </c>
      <c r="C26" s="2" t="inlineStr">
        <is>
          <t>억원</t>
        </is>
      </c>
      <c r="D26" s="9" t="n">
        <v>412.0561423</v>
      </c>
      <c r="E26" s="9" t="n">
        <v>418.73211837</v>
      </c>
      <c r="F26" s="9" t="n">
        <v>377.23279157</v>
      </c>
      <c r="G26" s="9" t="n">
        <v>282.73819924</v>
      </c>
      <c r="H26" s="9" t="n">
        <v>113.75702967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 t="inlineStr">
        <is>
          <t>[객관] 연결 포괄손익계산서 확정값.</t>
        </is>
      </c>
    </row>
    <row r="27">
      <c r="A27" s="5" t="inlineStr">
        <is>
          <t>연구개발비 증가율</t>
        </is>
      </c>
      <c r="B27" s="2" t="inlineStr">
        <is>
          <t>rnd_g</t>
        </is>
      </c>
      <c r="C27" s="2" t="inlineStr">
        <is>
          <t>%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3" t="n">
        <v>0.037</v>
      </c>
      <c r="J27" s="13" t="n">
        <v>0.229</v>
      </c>
      <c r="K27" s="13" t="n">
        <v>0.241</v>
      </c>
      <c r="L27" s="13" t="n">
        <v>0.139</v>
      </c>
      <c r="M27" s="13" t="n">
        <v>0.098</v>
      </c>
      <c r="N27" s="11" t="inlineStr">
        <is>
          <t>[주관] 회복 국면에서 재확대 — 2030년 225억(2021년의 55%). 수주가 늘면 개발비도 늘어야 한다는 **불리한 방향의 가정**을 Base에 넣었다.</t>
        </is>
      </c>
    </row>
    <row r="28">
      <c r="A28" s="5" t="inlineStr">
        <is>
          <t>감가상각 실적</t>
        </is>
      </c>
      <c r="B28" s="2" t="inlineStr">
        <is>
          <t>dep_actual</t>
        </is>
      </c>
      <c r="C28" s="2" t="inlineStr">
        <is>
          <t>억원</t>
        </is>
      </c>
      <c r="D28" s="9" t="n">
        <v>140.41334</v>
      </c>
      <c r="E28" s="9" t="n">
        <v>159.61201</v>
      </c>
      <c r="F28" s="9" t="n">
        <v>151.83575</v>
      </c>
      <c r="G28" s="9" t="n">
        <v>119.06307</v>
      </c>
      <c r="H28" s="9" t="n">
        <v>95.04927000000001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 t="inlineStr">
        <is>
          <t>[객관] 부문별 정보 주석의 연결(조정 후) 유·무형 감가상각비 — FY2022·FY2023·FY2025 보고서의 당기/전기 연쇄로 교차검증.</t>
        </is>
      </c>
    </row>
    <row r="29">
      <c r="A29" s="5" t="inlineStr">
        <is>
          <t>감가상각 증가율</t>
        </is>
      </c>
      <c r="B29" s="2" t="inlineStr">
        <is>
          <t>dep_g</t>
        </is>
      </c>
      <c r="C29" s="2" t="inlineStr">
        <is>
          <t>%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3" t="n">
        <v>-0.074</v>
      </c>
      <c r="J29" s="13" t="n">
        <v>0.045</v>
      </c>
      <c r="K29" s="13" t="n">
        <v>0.109</v>
      </c>
      <c r="L29" s="13" t="n">
        <v>0.108</v>
      </c>
      <c r="M29" s="13" t="n">
        <v>0.08</v>
      </c>
      <c r="N29" s="11" t="inlineStr">
        <is>
          <t>[주관] 2026 −7.4%(투자 공백의 잔상) 후 증가 전환 — 회복 시나리오라면 CAPEX 재개가 따라와야 하므로 상각 증가를 함께 가정한다.</t>
        </is>
      </c>
    </row>
    <row r="30">
      <c r="A30" s="5" t="inlineStr">
        <is>
          <t>순차입금</t>
        </is>
      </c>
      <c r="B30" s="2" t="inlineStr">
        <is>
          <t>net_debt</t>
        </is>
      </c>
      <c r="C30" s="2" t="inlineStr">
        <is>
          <t>억원</t>
        </is>
      </c>
      <c r="D30" s="9" t="n">
        <v>-1196.45</v>
      </c>
      <c r="E30" s="9" t="n">
        <v>-712.9400000000001</v>
      </c>
      <c r="F30" s="9" t="n">
        <v>-331.2</v>
      </c>
      <c r="G30" s="9" t="n">
        <v>70.40000000000001</v>
      </c>
      <c r="H30" s="9" t="n">
        <v>231.5</v>
      </c>
      <c r="I30" s="10" t="n">
        <v>231.5</v>
      </c>
      <c r="J30" s="10" t="n">
        <v>231.5</v>
      </c>
      <c r="K30" s="10" t="n">
        <v>231.5</v>
      </c>
      <c r="L30" s="10" t="n">
        <v>231.5</v>
      </c>
      <c r="M30" s="10" t="n">
        <v>231.5</v>
      </c>
      <c r="N30" s="11" t="inlineStr">
        <is>
          <t>[객관 실적 / 추정 구간 고정] 단기+장기차입금+전환사채 − 현금성자산·단기금융. **순현금 1,196억(2021) → 순차입 232억(2025)** — 5년 적자가 1,400억을 태웠고 유상증자·CB(2023~2025)로 메웠다. 추정 구간 2025년 고정은 이 종목에서는 보수가 아니라 낙관 쪽이다 — Base 경로로도 2028년까지 적자라 실제로는 추가 조달(희석) 가능성이 높다. 하나증권 "순금융부채"(2025 368억)는 리스·기타 금융부채를 포함해 범위가 다르다.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케이엠더블유 투자심사 모델</t>
        </is>
      </c>
    </row>
    <row r="2">
      <c r="A2" s="2" t="inlineStr">
        <is>
          <t>단위 억원 · 실적 5개년 + 추정 5개년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4" t="inlineStr">
        <is>
          <t>적정 시가총액</t>
        </is>
      </c>
      <c r="B5" s="2" t="inlineStr">
        <is>
          <t>root</t>
        </is>
      </c>
      <c r="C5" s="2" t="inlineStr">
        <is>
          <t>억원</t>
        </is>
      </c>
      <c r="D5" s="14">
        <f>(D6-D46)</f>
        <v/>
      </c>
      <c r="E5" s="14">
        <f>(E6-E46)</f>
        <v/>
      </c>
      <c r="F5" s="14">
        <f>(F6-F46)</f>
        <v/>
      </c>
      <c r="G5" s="14">
        <f>(G6-G46)</f>
        <v/>
      </c>
      <c r="H5" s="14">
        <f>(H6-H46)</f>
        <v/>
      </c>
      <c r="I5" s="14">
        <f>(I6-I46)</f>
        <v/>
      </c>
      <c r="J5" s="14">
        <f>(J6-J46)</f>
        <v/>
      </c>
      <c r="K5" s="14">
        <f>(K6-K46)</f>
        <v/>
      </c>
      <c r="L5" s="14">
        <f>(L6-L46)</f>
        <v/>
      </c>
      <c r="M5" s="14">
        <f>(M6-M46)</f>
        <v/>
      </c>
    </row>
    <row r="6">
      <c r="A6" s="15" t="inlineStr">
        <is>
          <t>사업가치 (EV)</t>
        </is>
      </c>
      <c r="B6" s="2" t="inlineStr">
        <is>
          <t>ev_value</t>
        </is>
      </c>
      <c r="C6" s="2" t="inlineStr">
        <is>
          <t>억원</t>
        </is>
      </c>
      <c r="D6" s="16">
        <f>(D8*D7)</f>
        <v/>
      </c>
      <c r="E6" s="16">
        <f>(E8*E7)</f>
        <v/>
      </c>
      <c r="F6" s="16">
        <f>(F8*F7)</f>
        <v/>
      </c>
      <c r="G6" s="16">
        <f>(G8*G7)</f>
        <v/>
      </c>
      <c r="H6" s="16">
        <f>(H8*H7)</f>
        <v/>
      </c>
      <c r="I6" s="17">
        <f>(I8*I7)</f>
        <v/>
      </c>
      <c r="J6" s="17">
        <f>(J8*J7)</f>
        <v/>
      </c>
      <c r="K6" s="17">
        <f>(K8*K7)</f>
        <v/>
      </c>
      <c r="L6" s="17">
        <f>(L8*L7)</f>
        <v/>
      </c>
      <c r="M6" s="17">
        <f>(M8*M7)</f>
        <v/>
      </c>
    </row>
    <row r="7">
      <c r="A7" s="18" t="inlineStr">
        <is>
          <t>목표 EV/EBITDA</t>
        </is>
      </c>
      <c r="B7" s="2" t="inlineStr">
        <is>
          <t>target_ev_ebitda</t>
        </is>
      </c>
      <c r="C7" s="2" t="inlineStr">
        <is>
          <t>배</t>
        </is>
      </c>
      <c r="D7" s="19" t="n">
        <v>8</v>
      </c>
      <c r="E7" s="19" t="n">
        <v>8</v>
      </c>
      <c r="F7" s="19" t="n">
        <v>8</v>
      </c>
      <c r="G7" s="19" t="n">
        <v>8</v>
      </c>
      <c r="H7" s="19" t="n">
        <v>8</v>
      </c>
      <c r="I7" s="20" t="n">
        <v>8</v>
      </c>
      <c r="J7" s="20" t="n">
        <v>8</v>
      </c>
      <c r="K7" s="20" t="n">
        <v>8</v>
      </c>
      <c r="L7" s="20" t="n">
        <v>8</v>
      </c>
      <c r="M7" s="20" t="n">
        <v>8</v>
      </c>
    </row>
    <row r="8">
      <c r="A8" s="18" t="inlineStr">
        <is>
          <t>EBITDA</t>
        </is>
      </c>
      <c r="B8" s="2" t="inlineStr">
        <is>
          <t>ebitda</t>
        </is>
      </c>
      <c r="C8" s="2" t="inlineStr">
        <is>
          <t>억원</t>
        </is>
      </c>
      <c r="D8" s="16">
        <f>(D9+D43)</f>
        <v/>
      </c>
      <c r="E8" s="16">
        <f>(E9+E43)</f>
        <v/>
      </c>
      <c r="F8" s="16">
        <f>(F9+F43)</f>
        <v/>
      </c>
      <c r="G8" s="16">
        <f>(G9+G43)</f>
        <v/>
      </c>
      <c r="H8" s="16">
        <f>(H9+H43)</f>
        <v/>
      </c>
      <c r="I8" s="17">
        <f>(I9+I43)</f>
        <v/>
      </c>
      <c r="J8" s="17">
        <f>(J9+J43)</f>
        <v/>
      </c>
      <c r="K8" s="17">
        <f>(K9+K43)</f>
        <v/>
      </c>
      <c r="L8" s="17">
        <f>(L9+L43)</f>
        <v/>
      </c>
      <c r="M8" s="17">
        <f>(M9+M43)</f>
        <v/>
      </c>
    </row>
    <row r="9">
      <c r="A9" s="21" t="inlineStr">
        <is>
          <t>영업이익</t>
        </is>
      </c>
      <c r="B9" s="2" t="inlineStr">
        <is>
          <t>op_profit</t>
        </is>
      </c>
      <c r="C9" s="2" t="inlineStr">
        <is>
          <t>억원</t>
        </is>
      </c>
      <c r="D9" s="16">
        <f>(((D21-D34)-D37)-D40)</f>
        <v/>
      </c>
      <c r="E9" s="16">
        <f>(((E21-E34)-E37)-E40)</f>
        <v/>
      </c>
      <c r="F9" s="16">
        <f>(((F21-F34)-F37)-F40)</f>
        <v/>
      </c>
      <c r="G9" s="16">
        <f>(((G21-G34)-G37)-G40)</f>
        <v/>
      </c>
      <c r="H9" s="16">
        <f>(((H21-H34)-H37)-H40)</f>
        <v/>
      </c>
      <c r="I9" s="17">
        <f>(((I21-I34)-I37)-I40)</f>
        <v/>
      </c>
      <c r="J9" s="17">
        <f>(((J21-J34)-J37)-J40)</f>
        <v/>
      </c>
      <c r="K9" s="17">
        <f>(((K21-K34)-K37)-K40)</f>
        <v/>
      </c>
      <c r="L9" s="17">
        <f>(((L21-L34)-L37)-L40)</f>
        <v/>
      </c>
      <c r="M9" s="17">
        <f>(((M21-M34)-M37)-M40)</f>
        <v/>
      </c>
    </row>
    <row r="10">
      <c r="A10" s="22" t="inlineStr">
        <is>
          <t>지배주주 순이익 (참고)</t>
        </is>
      </c>
      <c r="B10" s="2" t="inlineStr">
        <is>
          <t>net_income</t>
        </is>
      </c>
      <c r="C10" s="2" t="inlineStr">
        <is>
          <t>억원</t>
        </is>
      </c>
      <c r="D10" s="16">
        <f>IF((D11&gt;0),D12,(((D9+D13)*(1-D14))*D15))</f>
        <v/>
      </c>
      <c r="E10" s="16">
        <f>IF((E11&gt;0),E12,(((E9+E13)*(1-E14))*E15))</f>
        <v/>
      </c>
      <c r="F10" s="16">
        <f>IF((F11&gt;0),F12,(((F9+F13)*(1-F14))*F15))</f>
        <v/>
      </c>
      <c r="G10" s="16">
        <f>IF((G11&gt;0),G12,(((G9+G13)*(1-G14))*G15))</f>
        <v/>
      </c>
      <c r="H10" s="16">
        <f>IF((H11&gt;0),H12,(((H9+H13)*(1-H14))*H15))</f>
        <v/>
      </c>
      <c r="I10" s="17">
        <f>IF((I11&gt;0),I12,(((I9+I13)*(1-I14))*I15))</f>
        <v/>
      </c>
      <c r="J10" s="17">
        <f>IF((J11&gt;0),J12,(((J9+J13)*(1-J14))*J15))</f>
        <v/>
      </c>
      <c r="K10" s="17">
        <f>IF((K11&gt;0),K12,(((K9+K13)*(1-K14))*K15))</f>
        <v/>
      </c>
      <c r="L10" s="17">
        <f>IF((L11&gt;0),L12,(((L9+L13)*(1-L14))*L15))</f>
        <v/>
      </c>
      <c r="M10" s="17">
        <f>IF((M11&gt;0),M12,(((M9+M13)*(1-M14))*M15))</f>
        <v/>
      </c>
    </row>
    <row r="11">
      <c r="A11" s="23" t="inlineStr">
        <is>
          <t>순이익 실적 마스크</t>
        </is>
      </c>
      <c r="B11" s="2" t="inlineStr">
        <is>
          <t>ni_hist</t>
        </is>
      </c>
      <c r="C11" s="2" t="inlineStr"/>
      <c r="D11" s="19" t="n">
        <v>1</v>
      </c>
      <c r="E11" s="19" t="n">
        <v>1</v>
      </c>
      <c r="F11" s="19" t="n">
        <v>1</v>
      </c>
      <c r="G11" s="19" t="n">
        <v>1</v>
      </c>
      <c r="H11" s="19" t="n">
        <v>1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</row>
    <row r="12">
      <c r="A12" s="23" t="inlineStr">
        <is>
          <t>순이익 실적</t>
        </is>
      </c>
      <c r="B12" s="2" t="inlineStr">
        <is>
          <t>ni_actual</t>
        </is>
      </c>
      <c r="C12" s="2" t="inlineStr">
        <is>
          <t>억원</t>
        </is>
      </c>
      <c r="D12" s="19" t="n">
        <v>-37.29376178</v>
      </c>
      <c r="E12" s="19" t="n">
        <v>-266.86462958</v>
      </c>
      <c r="F12" s="19" t="n">
        <v>-652.86675524</v>
      </c>
      <c r="G12" s="19" t="n">
        <v>-386.0414071</v>
      </c>
      <c r="H12" s="19" t="n">
        <v>-270.3304712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</row>
    <row r="13">
      <c r="A13" s="23" t="inlineStr">
        <is>
          <t>영업외손익</t>
        </is>
      </c>
      <c r="B13" s="2" t="inlineStr">
        <is>
          <t>nonop</t>
        </is>
      </c>
      <c r="C13" s="2" t="inlineStr">
        <is>
          <t>억원</t>
        </is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20" t="n">
        <v>-85</v>
      </c>
      <c r="J13" s="20" t="n">
        <v>-40</v>
      </c>
      <c r="K13" s="20" t="n">
        <v>-25</v>
      </c>
      <c r="L13" s="20" t="n">
        <v>-15</v>
      </c>
      <c r="M13" s="20" t="n">
        <v>-10</v>
      </c>
    </row>
    <row r="14">
      <c r="A14" s="23" t="inlineStr">
        <is>
          <t>실효세율</t>
        </is>
      </c>
      <c r="B14" s="2" t="inlineStr">
        <is>
          <t>tax_rate</t>
        </is>
      </c>
      <c r="C14" s="2" t="inlineStr">
        <is>
          <t>%</t>
        </is>
      </c>
      <c r="D14" s="24" t="n">
        <v>0.08</v>
      </c>
      <c r="E14" s="24" t="n">
        <v>0.08</v>
      </c>
      <c r="F14" s="24" t="n">
        <v>0.08</v>
      </c>
      <c r="G14" s="24" t="n">
        <v>0.08</v>
      </c>
      <c r="H14" s="24" t="n">
        <v>0.08</v>
      </c>
      <c r="I14" s="25" t="n">
        <v>0.08</v>
      </c>
      <c r="J14" s="25" t="n">
        <v>0.08</v>
      </c>
      <c r="K14" s="25" t="n">
        <v>0.08</v>
      </c>
      <c r="L14" s="25" t="n">
        <v>0.08</v>
      </c>
      <c r="M14" s="25" t="n">
        <v>0.08</v>
      </c>
    </row>
    <row r="15">
      <c r="A15" s="23" t="inlineStr">
        <is>
          <t>지배지분비율</t>
        </is>
      </c>
      <c r="B15" s="2" t="inlineStr">
        <is>
          <t>ctrl_ratio</t>
        </is>
      </c>
      <c r="C15" s="2" t="inlineStr">
        <is>
          <t>%</t>
        </is>
      </c>
      <c r="D15" s="24" t="n">
        <v>1</v>
      </c>
      <c r="E15" s="24" t="n">
        <v>1</v>
      </c>
      <c r="F15" s="24" t="n">
        <v>1</v>
      </c>
      <c r="G15" s="24" t="n">
        <v>1</v>
      </c>
      <c r="H15" s="24" t="n">
        <v>1</v>
      </c>
      <c r="I15" s="25" t="n">
        <v>1</v>
      </c>
      <c r="J15" s="25" t="n">
        <v>1</v>
      </c>
      <c r="K15" s="25" t="n">
        <v>1</v>
      </c>
      <c r="L15" s="25" t="n">
        <v>1</v>
      </c>
      <c r="M15" s="25" t="n">
        <v>1</v>
      </c>
    </row>
    <row r="16">
      <c r="A16" s="23" t="inlineStr">
        <is>
          <t>EPS (참고)</t>
        </is>
      </c>
      <c r="B16" s="2" t="inlineStr">
        <is>
          <t>eps</t>
        </is>
      </c>
      <c r="C16" s="2" t="inlineStr">
        <is>
          <t>원</t>
        </is>
      </c>
      <c r="D16" s="16">
        <f>((D10/D17)*100)</f>
        <v/>
      </c>
      <c r="E16" s="16">
        <f>((E10/E17)*100)</f>
        <v/>
      </c>
      <c r="F16" s="16">
        <f>((F10/F17)*100)</f>
        <v/>
      </c>
      <c r="G16" s="16">
        <f>((G10/G17)*100)</f>
        <v/>
      </c>
      <c r="H16" s="16">
        <f>((H10/H17)*100)</f>
        <v/>
      </c>
      <c r="I16" s="17">
        <f>((I10/I17)*100)</f>
        <v/>
      </c>
      <c r="J16" s="17">
        <f>((J10/J17)*100)</f>
        <v/>
      </c>
      <c r="K16" s="17">
        <f>((K10/K17)*100)</f>
        <v/>
      </c>
      <c r="L16" s="17">
        <f>((L10/L17)*100)</f>
        <v/>
      </c>
      <c r="M16" s="17">
        <f>((M10/M17)*100)</f>
        <v/>
      </c>
    </row>
    <row r="17">
      <c r="A17" s="26" t="inlineStr">
        <is>
          <t>발행주식수</t>
        </is>
      </c>
      <c r="B17" s="2" t="inlineStr">
        <is>
          <t>shares</t>
        </is>
      </c>
      <c r="C17" s="2" t="inlineStr">
        <is>
          <t>백만주</t>
        </is>
      </c>
      <c r="D17" s="19" t="n">
        <v>42.1917</v>
      </c>
      <c r="E17" s="19" t="n">
        <v>42.1917</v>
      </c>
      <c r="F17" s="19" t="n">
        <v>42.1917</v>
      </c>
      <c r="G17" s="19" t="n">
        <v>42.1917</v>
      </c>
      <c r="H17" s="19" t="n">
        <v>42.1917</v>
      </c>
      <c r="I17" s="20" t="n">
        <v>42.1917</v>
      </c>
      <c r="J17" s="20" t="n">
        <v>42.1917</v>
      </c>
      <c r="K17" s="20" t="n">
        <v>42.1917</v>
      </c>
      <c r="L17" s="20" t="n">
        <v>42.1917</v>
      </c>
      <c r="M17" s="20" t="n">
        <v>42.1917</v>
      </c>
    </row>
    <row r="18">
      <c r="A18" s="23" t="inlineStr">
        <is>
          <t>DPS (참고)</t>
        </is>
      </c>
      <c r="B18" s="2" t="inlineStr">
        <is>
          <t>dps</t>
        </is>
      </c>
      <c r="C18" s="2" t="inlineStr">
        <is>
          <t>원</t>
        </is>
      </c>
      <c r="D18" s="16">
        <f>IF((D11&gt;0),D19,(D16*D20))</f>
        <v/>
      </c>
      <c r="E18" s="16">
        <f>IF((E11&gt;0),E19,(E16*E20))</f>
        <v/>
      </c>
      <c r="F18" s="16">
        <f>IF((F11&gt;0),F19,(F16*F20))</f>
        <v/>
      </c>
      <c r="G18" s="16">
        <f>IF((G11&gt;0),G19,(G16*G20))</f>
        <v/>
      </c>
      <c r="H18" s="16">
        <f>IF((H11&gt;0),H19,(H16*H20))</f>
        <v/>
      </c>
      <c r="I18" s="17">
        <f>IF((I11&gt;0),I19,(I16*I20))</f>
        <v/>
      </c>
      <c r="J18" s="17">
        <f>IF((J11&gt;0),J19,(J16*J20))</f>
        <v/>
      </c>
      <c r="K18" s="17">
        <f>IF((K11&gt;0),K19,(K16*K20))</f>
        <v/>
      </c>
      <c r="L18" s="17">
        <f>IF((L11&gt;0),L19,(L16*L20))</f>
        <v/>
      </c>
      <c r="M18" s="17">
        <f>IF((M11&gt;0),M19,(M16*M20))</f>
        <v/>
      </c>
    </row>
    <row r="19">
      <c r="A19" s="26" t="inlineStr">
        <is>
          <t>DPS 실적</t>
        </is>
      </c>
      <c r="B19" s="2" t="inlineStr">
        <is>
          <t>dps_a</t>
        </is>
      </c>
      <c r="C19" s="2" t="inlineStr">
        <is>
          <t>원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</row>
    <row r="20">
      <c r="A20" s="26" t="inlineStr">
        <is>
          <t>배당성향</t>
        </is>
      </c>
      <c r="B20" s="2" t="inlineStr">
        <is>
          <t>payout</t>
        </is>
      </c>
      <c r="C20" s="2" t="inlineStr">
        <is>
          <t>%</t>
        </is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</row>
    <row r="21">
      <c r="A21" s="22" t="inlineStr">
        <is>
          <t>총매출</t>
        </is>
      </c>
      <c r="B21" s="2" t="inlineStr">
        <is>
          <t>total_revenue</t>
        </is>
      </c>
      <c r="C21" s="2" t="inlineStr">
        <is>
          <t>억원</t>
        </is>
      </c>
      <c r="D21" s="16">
        <f>(((D22+D25)+D28)+D31)</f>
        <v/>
      </c>
      <c r="E21" s="16">
        <f>(((E22+E25)+E28)+E31)</f>
        <v/>
      </c>
      <c r="F21" s="16">
        <f>(((F22+F25)+F28)+F31)</f>
        <v/>
      </c>
      <c r="G21" s="16">
        <f>(((G22+G25)+G28)+G31)</f>
        <v/>
      </c>
      <c r="H21" s="16">
        <f>(((H22+H25)+H28)+H31)</f>
        <v/>
      </c>
      <c r="I21" s="17">
        <f>(((I22+I25)+I28)+I31)</f>
        <v/>
      </c>
      <c r="J21" s="17">
        <f>(((J22+J25)+J28)+J31)</f>
        <v/>
      </c>
      <c r="K21" s="17">
        <f>(((K22+K25)+K28)+K31)</f>
        <v/>
      </c>
      <c r="L21" s="17">
        <f>(((L22+L25)+L28)+L31)</f>
        <v/>
      </c>
      <c r="M21" s="17">
        <f>(((M22+M25)+M28)+M31)</f>
        <v/>
      </c>
    </row>
    <row r="22">
      <c r="A22" s="23" t="inlineStr">
        <is>
          <t>RF FILTER류·기타</t>
        </is>
      </c>
      <c r="B22" s="2" t="inlineStr">
        <is>
          <t>rf_filter</t>
        </is>
      </c>
      <c r="C22" s="2" t="inlineStr">
        <is>
          <t>억원</t>
        </is>
      </c>
      <c r="D22" s="16">
        <f>IF((D23&gt;0),D23,(0*(1+D24)))</f>
        <v/>
      </c>
      <c r="E22" s="16">
        <f>IF((E23&gt;0),E23,(D22*(1+E24)))</f>
        <v/>
      </c>
      <c r="F22" s="16">
        <f>IF((F23&gt;0),F23,(E22*(1+F24)))</f>
        <v/>
      </c>
      <c r="G22" s="16">
        <f>IF((G23&gt;0),G23,(F22*(1+G24)))</f>
        <v/>
      </c>
      <c r="H22" s="16">
        <f>IF((H23&gt;0),H23,(G22*(1+H24)))</f>
        <v/>
      </c>
      <c r="I22" s="17">
        <f>IF((I23&gt;0),I23,(H22*(1+I24)))</f>
        <v/>
      </c>
      <c r="J22" s="17">
        <f>IF((J23&gt;0),J23,(I22*(1+J24)))</f>
        <v/>
      </c>
      <c r="K22" s="17">
        <f>IF((K23&gt;0),K23,(J22*(1+K24)))</f>
        <v/>
      </c>
      <c r="L22" s="17">
        <f>IF((L23&gt;0),L23,(K22*(1+L24)))</f>
        <v/>
      </c>
      <c r="M22" s="17">
        <f>IF((M23&gt;0),M23,(L22*(1+M24)))</f>
        <v/>
      </c>
    </row>
    <row r="23">
      <c r="A23" s="26" t="inlineStr">
        <is>
          <t>FILTER 실적</t>
        </is>
      </c>
      <c r="B23" s="2" t="inlineStr">
        <is>
          <t>fil_actual</t>
        </is>
      </c>
      <c r="C23" s="2" t="inlineStr">
        <is>
          <t>억원</t>
        </is>
      </c>
      <c r="D23" s="19" t="n">
        <v>1107.9802105</v>
      </c>
      <c r="E23" s="19" t="n">
        <v>1365.93379726</v>
      </c>
      <c r="F23" s="19" t="n">
        <v>634.4128766699999</v>
      </c>
      <c r="G23" s="19" t="n">
        <v>351.95147199</v>
      </c>
      <c r="H23" s="19" t="n">
        <v>572.82624961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0</v>
      </c>
    </row>
    <row r="24">
      <c r="A24" s="26" t="inlineStr">
        <is>
          <t>FILTER 성장률</t>
        </is>
      </c>
      <c r="B24" s="2" t="inlineStr">
        <is>
          <t>fil_g</t>
        </is>
      </c>
      <c r="C24" s="2" t="inlineStr">
        <is>
          <t>%</t>
        </is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0</v>
      </c>
      <c r="I24" s="25" t="n">
        <v>0.0213</v>
      </c>
      <c r="J24" s="25" t="n">
        <v>0.5</v>
      </c>
      <c r="K24" s="25" t="n">
        <v>0.45</v>
      </c>
      <c r="L24" s="25" t="n">
        <v>0.22</v>
      </c>
      <c r="M24" s="25" t="n">
        <v>0.1</v>
      </c>
    </row>
    <row r="25">
      <c r="A25" s="23" t="inlineStr">
        <is>
          <t>RF ANTENNA류</t>
        </is>
      </c>
      <c r="B25" s="2" t="inlineStr">
        <is>
          <t>rf_antenna</t>
        </is>
      </c>
      <c r="C25" s="2" t="inlineStr">
        <is>
          <t>억원</t>
        </is>
      </c>
      <c r="D25" s="16">
        <f>IF((D26&gt;0),D26,(0*(1+D27)))</f>
        <v/>
      </c>
      <c r="E25" s="16">
        <f>IF((E26&gt;0),E26,(D25*(1+E27)))</f>
        <v/>
      </c>
      <c r="F25" s="16">
        <f>IF((F26&gt;0),F26,(E25*(1+F27)))</f>
        <v/>
      </c>
      <c r="G25" s="16">
        <f>IF((G26&gt;0),G26,(F25*(1+G27)))</f>
        <v/>
      </c>
      <c r="H25" s="16">
        <f>IF((H26&gt;0),H26,(G25*(1+H27)))</f>
        <v/>
      </c>
      <c r="I25" s="17">
        <f>IF((I26&gt;0),I26,(H25*(1+I27)))</f>
        <v/>
      </c>
      <c r="J25" s="17">
        <f>IF((J26&gt;0),J26,(I25*(1+J27)))</f>
        <v/>
      </c>
      <c r="K25" s="17">
        <f>IF((K26&gt;0),K26,(J25*(1+K27)))</f>
        <v/>
      </c>
      <c r="L25" s="17">
        <f>IF((L26&gt;0),L26,(K25*(1+L27)))</f>
        <v/>
      </c>
      <c r="M25" s="17">
        <f>IF((M26&gt;0),M26,(L25*(1+M27)))</f>
        <v/>
      </c>
    </row>
    <row r="26">
      <c r="A26" s="26" t="inlineStr">
        <is>
          <t>ANTENNA 실적</t>
        </is>
      </c>
      <c r="B26" s="2" t="inlineStr">
        <is>
          <t>ant_actual</t>
        </is>
      </c>
      <c r="C26" s="2" t="inlineStr">
        <is>
          <t>억원</t>
        </is>
      </c>
      <c r="D26" s="19" t="n">
        <v>165.43</v>
      </c>
      <c r="E26" s="19" t="n">
        <v>102.23</v>
      </c>
      <c r="F26" s="19" t="n">
        <v>131.59</v>
      </c>
      <c r="G26" s="19" t="n">
        <v>233.83</v>
      </c>
      <c r="H26" s="19" t="n">
        <v>189.74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</row>
    <row r="27">
      <c r="A27" s="26" t="inlineStr">
        <is>
          <t>ANTENNA 성장률</t>
        </is>
      </c>
      <c r="B27" s="2" t="inlineStr">
        <is>
          <t>ant_g</t>
        </is>
      </c>
      <c r="C27" s="2" t="inlineStr">
        <is>
          <t>%</t>
        </is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5" t="n">
        <v>-0.07770000000000001</v>
      </c>
      <c r="J27" s="25" t="n">
        <v>0.4</v>
      </c>
      <c r="K27" s="25" t="n">
        <v>0.38</v>
      </c>
      <c r="L27" s="25" t="n">
        <v>0.2</v>
      </c>
      <c r="M27" s="25" t="n">
        <v>0.1</v>
      </c>
    </row>
    <row r="28">
      <c r="A28" s="23" t="inlineStr">
        <is>
          <t>RF SYSTEM류</t>
        </is>
      </c>
      <c r="B28" s="2" t="inlineStr">
        <is>
          <t>rf_system</t>
        </is>
      </c>
      <c r="C28" s="2" t="inlineStr">
        <is>
          <t>억원</t>
        </is>
      </c>
      <c r="D28" s="16">
        <f>IF((D29&gt;0),D29,(0*(1+D30)))</f>
        <v/>
      </c>
      <c r="E28" s="16">
        <f>IF((E29&gt;0),E29,(D28*(1+E30)))</f>
        <v/>
      </c>
      <c r="F28" s="16">
        <f>IF((F29&gt;0),F29,(E28*(1+F30)))</f>
        <v/>
      </c>
      <c r="G28" s="16">
        <f>IF((G29&gt;0),G29,(F28*(1+G30)))</f>
        <v/>
      </c>
      <c r="H28" s="16">
        <f>IF((H29&gt;0),H29,(G28*(1+H30)))</f>
        <v/>
      </c>
      <c r="I28" s="17">
        <f>IF((I29&gt;0),I29,(H28*(1+I30)))</f>
        <v/>
      </c>
      <c r="J28" s="17">
        <f>IF((J29&gt;0),J29,(I28*(1+J30)))</f>
        <v/>
      </c>
      <c r="K28" s="17">
        <f>IF((K29&gt;0),K29,(J28*(1+K30)))</f>
        <v/>
      </c>
      <c r="L28" s="17">
        <f>IF((L29&gt;0),L29,(K28*(1+L30)))</f>
        <v/>
      </c>
      <c r="M28" s="17">
        <f>IF((M29&gt;0),M29,(L28*(1+M30)))</f>
        <v/>
      </c>
    </row>
    <row r="29">
      <c r="A29" s="26" t="inlineStr">
        <is>
          <t>SYSTEM 실적</t>
        </is>
      </c>
      <c r="B29" s="2" t="inlineStr">
        <is>
          <t>sys_actual</t>
        </is>
      </c>
      <c r="C29" s="2" t="inlineStr">
        <is>
          <t>억원</t>
        </is>
      </c>
      <c r="D29" s="19" t="n">
        <v>631.9</v>
      </c>
      <c r="E29" s="19" t="n">
        <v>152.44</v>
      </c>
      <c r="F29" s="19" t="n">
        <v>52.62</v>
      </c>
      <c r="G29" s="19" t="n">
        <v>134.79</v>
      </c>
      <c r="H29" s="19" t="n">
        <v>21.45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</row>
    <row r="30">
      <c r="A30" s="26" t="inlineStr">
        <is>
          <t>SYSTEM 성장률</t>
        </is>
      </c>
      <c r="B30" s="2" t="inlineStr">
        <is>
          <t>sys_g</t>
        </is>
      </c>
      <c r="C30" s="2" t="inlineStr">
        <is>
          <t>%</t>
        </is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0</v>
      </c>
      <c r="I30" s="25" t="n">
        <v>0.1655</v>
      </c>
      <c r="J30" s="25" t="n">
        <v>1.8</v>
      </c>
      <c r="K30" s="25" t="n">
        <v>1.2</v>
      </c>
      <c r="L30" s="25" t="n">
        <v>0.35</v>
      </c>
      <c r="M30" s="25" t="n">
        <v>0.15</v>
      </c>
    </row>
    <row r="31">
      <c r="A31" s="23" t="inlineStr">
        <is>
          <t>LED</t>
        </is>
      </c>
      <c r="B31" s="2" t="inlineStr">
        <is>
          <t>led</t>
        </is>
      </c>
      <c r="C31" s="2" t="inlineStr">
        <is>
          <t>억원</t>
        </is>
      </c>
      <c r="D31" s="16">
        <f>IF((D32&gt;0),D32,(0*(1+D33)))</f>
        <v/>
      </c>
      <c r="E31" s="16">
        <f>IF((E32&gt;0),E32,(D31*(1+E33)))</f>
        <v/>
      </c>
      <c r="F31" s="16">
        <f>IF((F32&gt;0),F32,(E31*(1+F33)))</f>
        <v/>
      </c>
      <c r="G31" s="16">
        <f>IF((G32&gt;0),G32,(F31*(1+G33)))</f>
        <v/>
      </c>
      <c r="H31" s="16">
        <f>IF((H32&gt;0),H32,(G31*(1+H33)))</f>
        <v/>
      </c>
      <c r="I31" s="17">
        <f>IF((I32&gt;0),I32,(H31*(1+I33)))</f>
        <v/>
      </c>
      <c r="J31" s="17">
        <f>IF((J32&gt;0),J32,(I31*(1+J33)))</f>
        <v/>
      </c>
      <c r="K31" s="17">
        <f>IF((K32&gt;0),K32,(J31*(1+K33)))</f>
        <v/>
      </c>
      <c r="L31" s="17">
        <f>IF((L32&gt;0),L32,(K31*(1+L33)))</f>
        <v/>
      </c>
      <c r="M31" s="17">
        <f>IF((M32&gt;0),M32,(L31*(1+M33)))</f>
        <v/>
      </c>
    </row>
    <row r="32">
      <c r="A32" s="26" t="inlineStr">
        <is>
          <t>LED 실적</t>
        </is>
      </c>
      <c r="B32" s="2" t="inlineStr">
        <is>
          <t>led_actual</t>
        </is>
      </c>
      <c r="C32" s="2" t="inlineStr">
        <is>
          <t>억원</t>
        </is>
      </c>
      <c r="D32" s="19" t="n">
        <v>146.28</v>
      </c>
      <c r="E32" s="19" t="n">
        <v>174.02</v>
      </c>
      <c r="F32" s="19" t="n">
        <v>182.06</v>
      </c>
      <c r="G32" s="19" t="n">
        <v>153</v>
      </c>
      <c r="H32" s="19" t="n">
        <v>191.17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</row>
    <row r="33">
      <c r="A33" s="26" t="inlineStr">
        <is>
          <t>LED 성장률</t>
        </is>
      </c>
      <c r="B33" s="2" t="inlineStr">
        <is>
          <t>led_g</t>
        </is>
      </c>
      <c r="C33" s="2" t="inlineStr">
        <is>
          <t>%</t>
        </is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0</v>
      </c>
      <c r="I33" s="25" t="n">
        <v>-0.08459999999999999</v>
      </c>
      <c r="J33" s="25" t="n">
        <v>0.05</v>
      </c>
      <c r="K33" s="25" t="n">
        <v>0.04</v>
      </c>
      <c r="L33" s="25" t="n">
        <v>0.03</v>
      </c>
      <c r="M33" s="25" t="n">
        <v>0.03</v>
      </c>
    </row>
    <row r="34">
      <c r="A34" s="22" t="inlineStr">
        <is>
          <t>매출원가</t>
        </is>
      </c>
      <c r="B34" s="2" t="inlineStr">
        <is>
          <t>cogs</t>
        </is>
      </c>
      <c r="C34" s="2" t="inlineStr">
        <is>
          <t>억원</t>
        </is>
      </c>
      <c r="D34" s="16">
        <f>IF((D35&gt;0),D35,(D21*D36))</f>
        <v/>
      </c>
      <c r="E34" s="16">
        <f>IF((E35&gt;0),E35,(E21*E36))</f>
        <v/>
      </c>
      <c r="F34" s="16">
        <f>IF((F35&gt;0),F35,(F21*F36))</f>
        <v/>
      </c>
      <c r="G34" s="16">
        <f>IF((G35&gt;0),G35,(G21*G36))</f>
        <v/>
      </c>
      <c r="H34" s="16">
        <f>IF((H35&gt;0),H35,(H21*H36))</f>
        <v/>
      </c>
      <c r="I34" s="17">
        <f>IF((I35&gt;0),I35,(I21*I36))</f>
        <v/>
      </c>
      <c r="J34" s="17">
        <f>IF((J35&gt;0),J35,(J21*J36))</f>
        <v/>
      </c>
      <c r="K34" s="17">
        <f>IF((K35&gt;0),K35,(K21*K36))</f>
        <v/>
      </c>
      <c r="L34" s="17">
        <f>IF((L35&gt;0),L35,(L21*L36))</f>
        <v/>
      </c>
      <c r="M34" s="17">
        <f>IF((M35&gt;0),M35,(M21*M36))</f>
        <v/>
      </c>
    </row>
    <row r="35">
      <c r="A35" s="23" t="inlineStr">
        <is>
          <t>매출원가 실적</t>
        </is>
      </c>
      <c r="B35" s="2" t="inlineStr">
        <is>
          <t>cogs_actual</t>
        </is>
      </c>
      <c r="C35" s="2" t="inlineStr">
        <is>
          <t>억원</t>
        </is>
      </c>
      <c r="D35" s="19" t="n">
        <v>1550.0633301</v>
      </c>
      <c r="E35" s="19" t="n">
        <v>1466.41475247</v>
      </c>
      <c r="F35" s="19" t="n">
        <v>929.3210315699999</v>
      </c>
      <c r="G35" s="19" t="n">
        <v>754.98514598</v>
      </c>
      <c r="H35" s="19" t="n">
        <v>845.1603744400001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</row>
    <row r="36">
      <c r="A36" s="23" t="inlineStr">
        <is>
          <t>매출원가율</t>
        </is>
      </c>
      <c r="B36" s="2" t="inlineStr">
        <is>
          <t>cogs_ratio</t>
        </is>
      </c>
      <c r="C36" s="2" t="inlineStr">
        <is>
          <t>%</t>
        </is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5" t="n">
        <v>0.865</v>
      </c>
      <c r="J36" s="25" t="n">
        <v>0.825</v>
      </c>
      <c r="K36" s="25" t="n">
        <v>0.775</v>
      </c>
      <c r="L36" s="25" t="n">
        <v>0.75</v>
      </c>
      <c r="M36" s="25" t="n">
        <v>0.735</v>
      </c>
    </row>
    <row r="37">
      <c r="A37" s="22" t="inlineStr">
        <is>
          <t>판매비와관리비</t>
        </is>
      </c>
      <c r="B37" s="2" t="inlineStr">
        <is>
          <t>sga_cost</t>
        </is>
      </c>
      <c r="C37" s="2" t="inlineStr">
        <is>
          <t>억원</t>
        </is>
      </c>
      <c r="D37" s="16">
        <f>IF((D38&gt;0),D38,(0*(1+D39)))</f>
        <v/>
      </c>
      <c r="E37" s="16">
        <f>IF((E38&gt;0),E38,(D37*(1+E39)))</f>
        <v/>
      </c>
      <c r="F37" s="16">
        <f>IF((F38&gt;0),F38,(E37*(1+F39)))</f>
        <v/>
      </c>
      <c r="G37" s="16">
        <f>IF((G38&gt;0),G38,(F37*(1+G39)))</f>
        <v/>
      </c>
      <c r="H37" s="16">
        <f>IF((H38&gt;0),H38,(G37*(1+H39)))</f>
        <v/>
      </c>
      <c r="I37" s="17">
        <f>IF((I38&gt;0),I38,(H37*(1+I39)))</f>
        <v/>
      </c>
      <c r="J37" s="17">
        <f>IF((J38&gt;0),J38,(I37*(1+J39)))</f>
        <v/>
      </c>
      <c r="K37" s="17">
        <f>IF((K38&gt;0),K38,(J37*(1+K39)))</f>
        <v/>
      </c>
      <c r="L37" s="17">
        <f>IF((L38&gt;0),L38,(K37*(1+L39)))</f>
        <v/>
      </c>
      <c r="M37" s="17">
        <f>IF((M38&gt;0),M38,(L37*(1+M39)))</f>
        <v/>
      </c>
    </row>
    <row r="38">
      <c r="A38" s="23" t="inlineStr">
        <is>
          <t>판관비 실적</t>
        </is>
      </c>
      <c r="B38" s="2" t="inlineStr">
        <is>
          <t>sga_actual</t>
        </is>
      </c>
      <c r="C38" s="2" t="inlineStr">
        <is>
          <t>억원</t>
        </is>
      </c>
      <c r="D38" s="19" t="n">
        <v>368.2950056</v>
      </c>
      <c r="E38" s="19" t="n">
        <v>359.35578633</v>
      </c>
      <c r="F38" s="19" t="n">
        <v>322.71133399</v>
      </c>
      <c r="G38" s="19" t="n">
        <v>290.65845793</v>
      </c>
      <c r="H38" s="19" t="n">
        <v>253.92502871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</row>
    <row r="39">
      <c r="A39" s="23" t="inlineStr">
        <is>
          <t>판관비 증가율</t>
        </is>
      </c>
      <c r="B39" s="2" t="inlineStr">
        <is>
          <t>sga_g</t>
        </is>
      </c>
      <c r="C39" s="2" t="inlineStr">
        <is>
          <t>%</t>
        </is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5" t="n">
        <v>-0.015</v>
      </c>
      <c r="J39" s="25" t="n">
        <v>0.08799999999999999</v>
      </c>
      <c r="K39" s="25" t="n">
        <v>0.103</v>
      </c>
      <c r="L39" s="25" t="n">
        <v>0.083</v>
      </c>
      <c r="M39" s="25" t="n">
        <v>0.062</v>
      </c>
    </row>
    <row r="40">
      <c r="A40" s="22" t="inlineStr">
        <is>
          <t>경상연구개발비</t>
        </is>
      </c>
      <c r="B40" s="2" t="inlineStr">
        <is>
          <t>rnd_cost</t>
        </is>
      </c>
      <c r="C40" s="2" t="inlineStr">
        <is>
          <t>억원</t>
        </is>
      </c>
      <c r="D40" s="16">
        <f>IF((D41&gt;0),D41,(0*(1+D42)))</f>
        <v/>
      </c>
      <c r="E40" s="16">
        <f>IF((E41&gt;0),E41,(D40*(1+E42)))</f>
        <v/>
      </c>
      <c r="F40" s="16">
        <f>IF((F41&gt;0),F41,(E40*(1+F42)))</f>
        <v/>
      </c>
      <c r="G40" s="16">
        <f>IF((G41&gt;0),G41,(F40*(1+G42)))</f>
        <v/>
      </c>
      <c r="H40" s="16">
        <f>IF((H41&gt;0),H41,(G40*(1+H42)))</f>
        <v/>
      </c>
      <c r="I40" s="17">
        <f>IF((I41&gt;0),I41,(H40*(1+I42)))</f>
        <v/>
      </c>
      <c r="J40" s="17">
        <f>IF((J41&gt;0),J41,(I40*(1+J42)))</f>
        <v/>
      </c>
      <c r="K40" s="17">
        <f>IF((K41&gt;0),K41,(J40*(1+K42)))</f>
        <v/>
      </c>
      <c r="L40" s="17">
        <f>IF((L41&gt;0),L41,(K40*(1+L42)))</f>
        <v/>
      </c>
      <c r="M40" s="17">
        <f>IF((M41&gt;0),M41,(L40*(1+M42)))</f>
        <v/>
      </c>
    </row>
    <row r="41">
      <c r="A41" s="23" t="inlineStr">
        <is>
          <t>연구개발비 실적</t>
        </is>
      </c>
      <c r="B41" s="2" t="inlineStr">
        <is>
          <t>rnd_actual</t>
        </is>
      </c>
      <c r="C41" s="2" t="inlineStr">
        <is>
          <t>억원</t>
        </is>
      </c>
      <c r="D41" s="19" t="n">
        <v>412.0561423</v>
      </c>
      <c r="E41" s="19" t="n">
        <v>418.73211837</v>
      </c>
      <c r="F41" s="19" t="n">
        <v>377.23279157</v>
      </c>
      <c r="G41" s="19" t="n">
        <v>282.73819924</v>
      </c>
      <c r="H41" s="19" t="n">
        <v>113.75702967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</row>
    <row r="42">
      <c r="A42" s="23" t="inlineStr">
        <is>
          <t>연구개발비 증가율</t>
        </is>
      </c>
      <c r="B42" s="2" t="inlineStr">
        <is>
          <t>rnd_g</t>
        </is>
      </c>
      <c r="C42" s="2" t="inlineStr">
        <is>
          <t>%</t>
        </is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5" t="n">
        <v>0.037</v>
      </c>
      <c r="J42" s="25" t="n">
        <v>0.229</v>
      </c>
      <c r="K42" s="25" t="n">
        <v>0.241</v>
      </c>
      <c r="L42" s="25" t="n">
        <v>0.139</v>
      </c>
      <c r="M42" s="25" t="n">
        <v>0.098</v>
      </c>
    </row>
    <row r="43">
      <c r="A43" s="21" t="inlineStr">
        <is>
          <t>유·무형 감가상각비</t>
        </is>
      </c>
      <c r="B43" s="2" t="inlineStr">
        <is>
          <t>dep_total</t>
        </is>
      </c>
      <c r="C43" s="2" t="inlineStr">
        <is>
          <t>억원</t>
        </is>
      </c>
      <c r="D43" s="16">
        <f>IF((D44&gt;0),D44,(0*(1+D45)))</f>
        <v/>
      </c>
      <c r="E43" s="16">
        <f>IF((E44&gt;0),E44,(D43*(1+E45)))</f>
        <v/>
      </c>
      <c r="F43" s="16">
        <f>IF((F44&gt;0),F44,(E43*(1+F45)))</f>
        <v/>
      </c>
      <c r="G43" s="16">
        <f>IF((G44&gt;0),G44,(F43*(1+G45)))</f>
        <v/>
      </c>
      <c r="H43" s="16">
        <f>IF((H44&gt;0),H44,(G43*(1+H45)))</f>
        <v/>
      </c>
      <c r="I43" s="17">
        <f>IF((I44&gt;0),I44,(H43*(1+I45)))</f>
        <v/>
      </c>
      <c r="J43" s="17">
        <f>IF((J44&gt;0),J44,(I43*(1+J45)))</f>
        <v/>
      </c>
      <c r="K43" s="17">
        <f>IF((K44&gt;0),K44,(J43*(1+K45)))</f>
        <v/>
      </c>
      <c r="L43" s="17">
        <f>IF((L44&gt;0),L44,(K43*(1+L45)))</f>
        <v/>
      </c>
      <c r="M43" s="17">
        <f>IF((M44&gt;0),M44,(L43*(1+M45)))</f>
        <v/>
      </c>
    </row>
    <row r="44">
      <c r="A44" s="22" t="inlineStr">
        <is>
          <t>감가상각 실적</t>
        </is>
      </c>
      <c r="B44" s="2" t="inlineStr">
        <is>
          <t>dep_actual</t>
        </is>
      </c>
      <c r="C44" s="2" t="inlineStr">
        <is>
          <t>억원</t>
        </is>
      </c>
      <c r="D44" s="19" t="n">
        <v>140.41334</v>
      </c>
      <c r="E44" s="19" t="n">
        <v>159.61201</v>
      </c>
      <c r="F44" s="19" t="n">
        <v>151.83575</v>
      </c>
      <c r="G44" s="19" t="n">
        <v>119.06307</v>
      </c>
      <c r="H44" s="19" t="n">
        <v>95.04927000000001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0</v>
      </c>
    </row>
    <row r="45">
      <c r="A45" s="22" t="inlineStr">
        <is>
          <t>감가상각 증가율</t>
        </is>
      </c>
      <c r="B45" s="2" t="inlineStr">
        <is>
          <t>dep_g</t>
        </is>
      </c>
      <c r="C45" s="2" t="inlineStr">
        <is>
          <t>%</t>
        </is>
      </c>
      <c r="D45" s="24" t="n">
        <v>0</v>
      </c>
      <c r="E45" s="24" t="n">
        <v>0</v>
      </c>
      <c r="F45" s="24" t="n">
        <v>0</v>
      </c>
      <c r="G45" s="24" t="n">
        <v>0</v>
      </c>
      <c r="H45" s="24" t="n">
        <v>0</v>
      </c>
      <c r="I45" s="25" t="n">
        <v>-0.074</v>
      </c>
      <c r="J45" s="25" t="n">
        <v>0.045</v>
      </c>
      <c r="K45" s="25" t="n">
        <v>0.109</v>
      </c>
      <c r="L45" s="25" t="n">
        <v>0.108</v>
      </c>
      <c r="M45" s="25" t="n">
        <v>0.08</v>
      </c>
    </row>
    <row r="46">
      <c r="A46" s="15" t="inlineStr">
        <is>
          <t>순차입금</t>
        </is>
      </c>
      <c r="B46" s="2" t="inlineStr">
        <is>
          <t>net_debt</t>
        </is>
      </c>
      <c r="C46" s="2" t="inlineStr">
        <is>
          <t>억원</t>
        </is>
      </c>
      <c r="D46" s="19" t="n">
        <v>-1196.45</v>
      </c>
      <c r="E46" s="19" t="n">
        <v>-712.9400000000001</v>
      </c>
      <c r="F46" s="19" t="n">
        <v>-331.2</v>
      </c>
      <c r="G46" s="19" t="n">
        <v>70.40000000000001</v>
      </c>
      <c r="H46" s="19" t="n">
        <v>231.5</v>
      </c>
      <c r="I46" s="20" t="n">
        <v>231.5</v>
      </c>
      <c r="J46" s="20" t="n">
        <v>231.5</v>
      </c>
      <c r="K46" s="20" t="n">
        <v>231.5</v>
      </c>
      <c r="L46" s="20" t="n">
        <v>231.5</v>
      </c>
      <c r="M46" s="20" t="n">
        <v>231.5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" customWidth="1" min="3" max="3"/>
    <col width="60" customWidth="1" min="4" max="4"/>
    <col width="60" customWidth="1" min="5" max="5"/>
  </cols>
  <sheetData>
    <row r="1">
      <c r="A1" s="1" t="inlineStr">
        <is>
          <t>수식 감사</t>
        </is>
      </c>
    </row>
    <row r="2">
      <c r="A2" s="2" t="inlineStr">
        <is>
          <t>모델 원식 ↔ Excel 셀 수식 대조. 변환은 엔진의 astToExcel이 담당한다.</t>
        </is>
      </c>
    </row>
    <row r="4">
      <c r="A4" s="3" t="inlineStr">
        <is>
          <t>노드 id</t>
        </is>
      </c>
      <c r="B4" s="3" t="inlineStr">
        <is>
          <t>계정</t>
        </is>
      </c>
      <c r="C4" s="3" t="inlineStr">
        <is>
          <t>행</t>
        </is>
      </c>
      <c r="D4" s="3" t="inlineStr">
        <is>
          <t>모델 원식</t>
        </is>
      </c>
      <c r="E4" s="3" t="inlineStr">
        <is>
          <t>첫 추정연도 셀 수식</t>
        </is>
      </c>
    </row>
    <row r="5">
      <c r="A5" s="2" t="inlineStr">
        <is>
          <t>root</t>
        </is>
      </c>
      <c r="B5" s="5" t="inlineStr">
        <is>
          <t>적정 시가총액</t>
        </is>
      </c>
      <c r="C5" s="2" t="n">
        <v>5</v>
      </c>
      <c r="D5" s="27" t="inlineStr">
        <is>
          <t>ev_value - net_debt</t>
        </is>
      </c>
      <c r="E5" s="11" t="inlineStr">
        <is>
          <t>'=(I6-I46)</t>
        </is>
      </c>
    </row>
    <row r="6">
      <c r="A6" s="2" t="inlineStr">
        <is>
          <t>ev_value</t>
        </is>
      </c>
      <c r="B6" s="5" t="inlineStr">
        <is>
          <t>사업가치 (EV)</t>
        </is>
      </c>
      <c r="C6" s="2" t="n">
        <v>6</v>
      </c>
      <c r="D6" s="27" t="inlineStr">
        <is>
          <t>ebitda * target_ev_ebitda</t>
        </is>
      </c>
      <c r="E6" s="11" t="inlineStr">
        <is>
          <t>'=(I8*I7)</t>
        </is>
      </c>
    </row>
    <row r="7">
      <c r="A7" s="2" t="inlineStr">
        <is>
          <t>ebitda</t>
        </is>
      </c>
      <c r="B7" s="5" t="inlineStr">
        <is>
          <t>EBITDA</t>
        </is>
      </c>
      <c r="C7" s="2" t="n">
        <v>8</v>
      </c>
      <c r="D7" s="27" t="inlineStr">
        <is>
          <t>op_profit + dep_total</t>
        </is>
      </c>
      <c r="E7" s="11" t="inlineStr">
        <is>
          <t>'=(I9+I43)</t>
        </is>
      </c>
    </row>
    <row r="8">
      <c r="A8" s="2" t="inlineStr">
        <is>
          <t>op_profit</t>
        </is>
      </c>
      <c r="B8" s="5" t="inlineStr">
        <is>
          <t>영업이익</t>
        </is>
      </c>
      <c r="C8" s="2" t="n">
        <v>9</v>
      </c>
      <c r="D8" s="27" t="inlineStr">
        <is>
          <t>total_revenue - cogs - sga_cost - rnd_cost</t>
        </is>
      </c>
      <c r="E8" s="11" t="inlineStr">
        <is>
          <t>'=(((I21-I34)-I37)-I40)</t>
        </is>
      </c>
    </row>
    <row r="9">
      <c r="A9" s="2" t="inlineStr">
        <is>
          <t>net_income</t>
        </is>
      </c>
      <c r="B9" s="5" t="inlineStr">
        <is>
          <t>지배주주 순이익 (참고)</t>
        </is>
      </c>
      <c r="C9" s="2" t="n">
        <v>10</v>
      </c>
      <c r="D9" s="27" t="inlineStr">
        <is>
          <t>IF(ni_hist &gt; 0, ni_actual, (op_profit + nonop) * (1 - tax_rate) * ctrl_ratio)</t>
        </is>
      </c>
      <c r="E9" s="11" t="inlineStr">
        <is>
          <t>'=IF((I11&gt;0),I12,(((I9+I13)*(1-I14))*I15))</t>
        </is>
      </c>
    </row>
    <row r="10">
      <c r="A10" s="2" t="inlineStr">
        <is>
          <t>eps</t>
        </is>
      </c>
      <c r="B10" s="5" t="inlineStr">
        <is>
          <t>EPS (참고)</t>
        </is>
      </c>
      <c r="C10" s="2" t="n">
        <v>16</v>
      </c>
      <c r="D10" s="27" t="inlineStr">
        <is>
          <t>net_income / shares * 100</t>
        </is>
      </c>
      <c r="E10" s="11" t="inlineStr">
        <is>
          <t>'=((I10/I17)*100)</t>
        </is>
      </c>
    </row>
    <row r="11">
      <c r="A11" s="2" t="inlineStr">
        <is>
          <t>dps</t>
        </is>
      </c>
      <c r="B11" s="5" t="inlineStr">
        <is>
          <t>DPS (참고)</t>
        </is>
      </c>
      <c r="C11" s="2" t="n">
        <v>18</v>
      </c>
      <c r="D11" s="27" t="inlineStr">
        <is>
          <t>IF(ni_hist &gt; 0, dps_a, eps * payout)</t>
        </is>
      </c>
      <c r="E11" s="11" t="inlineStr">
        <is>
          <t>'=IF((I11&gt;0),I19,(I16*I20))</t>
        </is>
      </c>
    </row>
    <row r="12">
      <c r="A12" s="2" t="inlineStr">
        <is>
          <t>total_revenue</t>
        </is>
      </c>
      <c r="B12" s="5" t="inlineStr">
        <is>
          <t>총매출</t>
        </is>
      </c>
      <c r="C12" s="2" t="n">
        <v>21</v>
      </c>
      <c r="D12" s="27" t="inlineStr">
        <is>
          <t>rf_filter + rf_antenna + rf_system + led</t>
        </is>
      </c>
      <c r="E12" s="11" t="inlineStr">
        <is>
          <t>'=(((I22+I25)+I28)+I31)</t>
        </is>
      </c>
    </row>
    <row r="13">
      <c r="A13" s="2" t="inlineStr">
        <is>
          <t>rf_filter</t>
        </is>
      </c>
      <c r="B13" s="5" t="inlineStr">
        <is>
          <t>RF FILTER류·기타</t>
        </is>
      </c>
      <c r="C13" s="2" t="n">
        <v>22</v>
      </c>
      <c r="D13" s="27" t="inlineStr">
        <is>
          <t>IF(fil_actual &gt; 0, fil_actual, PREV(rf_filter) * (1 + fil_g))</t>
        </is>
      </c>
      <c r="E13" s="11" t="inlineStr">
        <is>
          <t>'=IF((I23&gt;0),I23,(H22*(1+I24)))</t>
        </is>
      </c>
    </row>
    <row r="14">
      <c r="A14" s="2" t="inlineStr">
        <is>
          <t>rf_antenna</t>
        </is>
      </c>
      <c r="B14" s="5" t="inlineStr">
        <is>
          <t>RF ANTENNA류</t>
        </is>
      </c>
      <c r="C14" s="2" t="n">
        <v>25</v>
      </c>
      <c r="D14" s="27" t="inlineStr">
        <is>
          <t>IF(ant_actual &gt; 0, ant_actual, PREV(rf_antenna) * (1 + ant_g))</t>
        </is>
      </c>
      <c r="E14" s="11" t="inlineStr">
        <is>
          <t>'=IF((I26&gt;0),I26,(H25*(1+I27)))</t>
        </is>
      </c>
    </row>
    <row r="15">
      <c r="A15" s="2" t="inlineStr">
        <is>
          <t>rf_system</t>
        </is>
      </c>
      <c r="B15" s="5" t="inlineStr">
        <is>
          <t>RF SYSTEM류</t>
        </is>
      </c>
      <c r="C15" s="2" t="n">
        <v>28</v>
      </c>
      <c r="D15" s="27" t="inlineStr">
        <is>
          <t>IF(sys_actual &gt; 0, sys_actual, PREV(rf_system) * (1 + sys_g))</t>
        </is>
      </c>
      <c r="E15" s="11" t="inlineStr">
        <is>
          <t>'=IF((I29&gt;0),I29,(H28*(1+I30)))</t>
        </is>
      </c>
    </row>
    <row r="16">
      <c r="A16" s="2" t="inlineStr">
        <is>
          <t>led</t>
        </is>
      </c>
      <c r="B16" s="5" t="inlineStr">
        <is>
          <t>LED</t>
        </is>
      </c>
      <c r="C16" s="2" t="n">
        <v>31</v>
      </c>
      <c r="D16" s="27" t="inlineStr">
        <is>
          <t>IF(led_actual &gt; 0, led_actual, PREV(led) * (1 + led_g))</t>
        </is>
      </c>
      <c r="E16" s="11" t="inlineStr">
        <is>
          <t>'=IF((I32&gt;0),I32,(H31*(1+I33)))</t>
        </is>
      </c>
    </row>
    <row r="17">
      <c r="A17" s="2" t="inlineStr">
        <is>
          <t>cogs</t>
        </is>
      </c>
      <c r="B17" s="5" t="inlineStr">
        <is>
          <t>매출원가</t>
        </is>
      </c>
      <c r="C17" s="2" t="n">
        <v>34</v>
      </c>
      <c r="D17" s="27" t="inlineStr">
        <is>
          <t>IF(cogs_actual &gt; 0, cogs_actual, total_revenue * cogs_ratio)</t>
        </is>
      </c>
      <c r="E17" s="11" t="inlineStr">
        <is>
          <t>'=IF((I35&gt;0),I35,(I21*I36))</t>
        </is>
      </c>
    </row>
    <row r="18">
      <c r="A18" s="2" t="inlineStr">
        <is>
          <t>sga_cost</t>
        </is>
      </c>
      <c r="B18" s="5" t="inlineStr">
        <is>
          <t>판매비와관리비</t>
        </is>
      </c>
      <c r="C18" s="2" t="n">
        <v>37</v>
      </c>
      <c r="D18" s="27" t="inlineStr">
        <is>
          <t>IF(sga_actual &gt; 0, sga_actual, PREV(sga_cost) * (1 + sga_g))</t>
        </is>
      </c>
      <c r="E18" s="11" t="inlineStr">
        <is>
          <t>'=IF((I38&gt;0),I38,(H37*(1+I39)))</t>
        </is>
      </c>
    </row>
    <row r="19">
      <c r="A19" s="2" t="inlineStr">
        <is>
          <t>rnd_cost</t>
        </is>
      </c>
      <c r="B19" s="5" t="inlineStr">
        <is>
          <t>경상연구개발비</t>
        </is>
      </c>
      <c r="C19" s="2" t="n">
        <v>40</v>
      </c>
      <c r="D19" s="27" t="inlineStr">
        <is>
          <t>IF(rnd_actual &gt; 0, rnd_actual, PREV(rnd_cost) * (1 + rnd_g))</t>
        </is>
      </c>
      <c r="E19" s="11" t="inlineStr">
        <is>
          <t>'=IF((I41&gt;0),I41,(H40*(1+I42)))</t>
        </is>
      </c>
    </row>
    <row r="20">
      <c r="A20" s="2" t="inlineStr">
        <is>
          <t>dep_total</t>
        </is>
      </c>
      <c r="B20" s="5" t="inlineStr">
        <is>
          <t>유·무형 감가상각비</t>
        </is>
      </c>
      <c r="C20" s="2" t="n">
        <v>43</v>
      </c>
      <c r="D20" s="27" t="inlineStr">
        <is>
          <t>IF(dep_actual &gt; 0, dep_actual, PREV(dep_total) * (1 + dep_g))</t>
        </is>
      </c>
      <c r="E20" s="11" t="inlineStr">
        <is>
          <t>'=IF((I44&gt;0),I44,(H43*(1+I45)))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" customWidth="1" min="3" max="3"/>
    <col width="12" customWidth="1" min="4" max="4"/>
    <col width="9" customWidth="1" min="5" max="5"/>
    <col width="7" customWidth="1" min="6" max="6"/>
    <col width="12" customWidth="1" min="7" max="7"/>
  </cols>
  <sheetData>
    <row r="1">
      <c r="A1" s="1" t="inlineStr">
        <is>
          <t>트리 구조</t>
        </is>
      </c>
    </row>
    <row r="3">
      <c r="A3" s="3" t="inlineStr">
        <is>
          <t>노드 id</t>
        </is>
      </c>
      <c r="B3" s="3" t="inlineStr">
        <is>
          <t>계정</t>
        </is>
      </c>
      <c r="C3" s="3" t="inlineStr">
        <is>
          <t>깊이</t>
        </is>
      </c>
      <c r="D3" s="3" t="inlineStr">
        <is>
          <t>유형</t>
        </is>
      </c>
      <c r="E3" s="3" t="inlineStr">
        <is>
          <t>합계형</t>
        </is>
      </c>
      <c r="F3" s="3" t="inlineStr">
        <is>
          <t>행</t>
        </is>
      </c>
      <c r="G3" s="3" t="inlineStr">
        <is>
          <t>단위</t>
        </is>
      </c>
    </row>
    <row r="4">
      <c r="A4" s="2" t="inlineStr">
        <is>
          <t>root</t>
        </is>
      </c>
      <c r="B4" t="inlineStr">
        <is>
          <t>적정 시가총액</t>
        </is>
      </c>
      <c r="C4" t="n">
        <v>0</v>
      </c>
      <c r="D4" t="inlineStr">
        <is>
          <t>computed</t>
        </is>
      </c>
      <c r="E4" t="inlineStr"/>
      <c r="F4" t="n">
        <v>5</v>
      </c>
      <c r="G4" t="inlineStr">
        <is>
          <t>억원</t>
        </is>
      </c>
    </row>
    <row r="5">
      <c r="A5" s="2" t="inlineStr">
        <is>
          <t>ev_value</t>
        </is>
      </c>
      <c r="B5" s="28" t="inlineStr">
        <is>
          <t>사업가치 (EV)</t>
        </is>
      </c>
      <c r="C5" t="n">
        <v>1</v>
      </c>
      <c r="D5" t="inlineStr">
        <is>
          <t>computed</t>
        </is>
      </c>
      <c r="E5" t="inlineStr"/>
      <c r="F5" t="n">
        <v>6</v>
      </c>
      <c r="G5" t="inlineStr">
        <is>
          <t>억원</t>
        </is>
      </c>
    </row>
    <row r="6">
      <c r="A6" s="2" t="inlineStr">
        <is>
          <t>target_ev_ebitda</t>
        </is>
      </c>
      <c r="B6" s="29" t="inlineStr">
        <is>
          <t>목표 EV/EBITDA</t>
        </is>
      </c>
      <c r="C6" t="n">
        <v>2</v>
      </c>
      <c r="D6" t="inlineStr">
        <is>
          <t>input</t>
        </is>
      </c>
      <c r="E6" t="inlineStr"/>
      <c r="F6" t="n">
        <v>7</v>
      </c>
      <c r="G6" t="inlineStr">
        <is>
          <t>배</t>
        </is>
      </c>
    </row>
    <row r="7">
      <c r="A7" s="2" t="inlineStr">
        <is>
          <t>ebitda</t>
        </is>
      </c>
      <c r="B7" s="29" t="inlineStr">
        <is>
          <t>EBITDA</t>
        </is>
      </c>
      <c r="C7" t="n">
        <v>2</v>
      </c>
      <c r="D7" t="inlineStr">
        <is>
          <t>computed</t>
        </is>
      </c>
      <c r="E7" t="inlineStr">
        <is>
          <t>Y</t>
        </is>
      </c>
      <c r="F7" t="n">
        <v>8</v>
      </c>
      <c r="G7" t="inlineStr">
        <is>
          <t>억원</t>
        </is>
      </c>
    </row>
    <row r="8">
      <c r="A8" s="2" t="inlineStr">
        <is>
          <t>op_profit</t>
        </is>
      </c>
      <c r="B8" s="30" t="inlineStr">
        <is>
          <t>영업이익</t>
        </is>
      </c>
      <c r="C8" t="n">
        <v>3</v>
      </c>
      <c r="D8" t="inlineStr">
        <is>
          <t>computed</t>
        </is>
      </c>
      <c r="E8" t="inlineStr"/>
      <c r="F8" t="n">
        <v>9</v>
      </c>
      <c r="G8" t="inlineStr">
        <is>
          <t>억원</t>
        </is>
      </c>
    </row>
    <row r="9">
      <c r="A9" s="2" t="inlineStr">
        <is>
          <t>net_income</t>
        </is>
      </c>
      <c r="B9" s="31" t="inlineStr">
        <is>
          <t>지배주주 순이익 (참고)</t>
        </is>
      </c>
      <c r="C9" t="n">
        <v>4</v>
      </c>
      <c r="D9" t="inlineStr">
        <is>
          <t>computed</t>
        </is>
      </c>
      <c r="E9" t="inlineStr"/>
      <c r="F9" t="n">
        <v>10</v>
      </c>
      <c r="G9" t="inlineStr">
        <is>
          <t>억원</t>
        </is>
      </c>
    </row>
    <row r="10">
      <c r="A10" s="2" t="inlineStr">
        <is>
          <t>ni_hist</t>
        </is>
      </c>
      <c r="B10" s="32" t="inlineStr">
        <is>
          <t>순이익 실적 마스크</t>
        </is>
      </c>
      <c r="C10" t="n">
        <v>5</v>
      </c>
      <c r="D10" t="inlineStr">
        <is>
          <t>input</t>
        </is>
      </c>
      <c r="E10" t="inlineStr"/>
      <c r="F10" t="n">
        <v>11</v>
      </c>
      <c r="G10" t="inlineStr"/>
    </row>
    <row r="11">
      <c r="A11" s="2" t="inlineStr">
        <is>
          <t>ni_actual</t>
        </is>
      </c>
      <c r="B11" s="32" t="inlineStr">
        <is>
          <t>순이익 실적</t>
        </is>
      </c>
      <c r="C11" t="n">
        <v>5</v>
      </c>
      <c r="D11" t="inlineStr">
        <is>
          <t>input</t>
        </is>
      </c>
      <c r="E11" t="inlineStr"/>
      <c r="F11" t="n">
        <v>12</v>
      </c>
      <c r="G11" t="inlineStr">
        <is>
          <t>억원</t>
        </is>
      </c>
    </row>
    <row r="12">
      <c r="A12" s="2" t="inlineStr">
        <is>
          <t>nonop</t>
        </is>
      </c>
      <c r="B12" s="32" t="inlineStr">
        <is>
          <t>영업외손익</t>
        </is>
      </c>
      <c r="C12" t="n">
        <v>5</v>
      </c>
      <c r="D12" t="inlineStr">
        <is>
          <t>input</t>
        </is>
      </c>
      <c r="E12" t="inlineStr"/>
      <c r="F12" t="n">
        <v>13</v>
      </c>
      <c r="G12" t="inlineStr">
        <is>
          <t>억원</t>
        </is>
      </c>
    </row>
    <row r="13">
      <c r="A13" s="2" t="inlineStr">
        <is>
          <t>tax_rate</t>
        </is>
      </c>
      <c r="B13" s="32" t="inlineStr">
        <is>
          <t>실효세율</t>
        </is>
      </c>
      <c r="C13" t="n">
        <v>5</v>
      </c>
      <c r="D13" t="inlineStr">
        <is>
          <t>input</t>
        </is>
      </c>
      <c r="E13" t="inlineStr"/>
      <c r="F13" t="n">
        <v>14</v>
      </c>
      <c r="G13" t="inlineStr">
        <is>
          <t>%</t>
        </is>
      </c>
    </row>
    <row r="14">
      <c r="A14" s="2" t="inlineStr">
        <is>
          <t>ctrl_ratio</t>
        </is>
      </c>
      <c r="B14" s="32" t="inlineStr">
        <is>
          <t>지배지분비율</t>
        </is>
      </c>
      <c r="C14" t="n">
        <v>5</v>
      </c>
      <c r="D14" t="inlineStr">
        <is>
          <t>input</t>
        </is>
      </c>
      <c r="E14" t="inlineStr"/>
      <c r="F14" t="n">
        <v>15</v>
      </c>
      <c r="G14" t="inlineStr">
        <is>
          <t>%</t>
        </is>
      </c>
    </row>
    <row r="15">
      <c r="A15" s="2" t="inlineStr">
        <is>
          <t>eps</t>
        </is>
      </c>
      <c r="B15" s="32" t="inlineStr">
        <is>
          <t>EPS (참고)</t>
        </is>
      </c>
      <c r="C15" t="n">
        <v>5</v>
      </c>
      <c r="D15" t="inlineStr">
        <is>
          <t>computed</t>
        </is>
      </c>
      <c r="E15" t="inlineStr"/>
      <c r="F15" t="n">
        <v>16</v>
      </c>
      <c r="G15" t="inlineStr">
        <is>
          <t>원</t>
        </is>
      </c>
    </row>
    <row r="16">
      <c r="A16" s="2" t="inlineStr">
        <is>
          <t>shares</t>
        </is>
      </c>
      <c r="B16" s="33" t="inlineStr">
        <is>
          <t>발행주식수</t>
        </is>
      </c>
      <c r="C16" t="n">
        <v>6</v>
      </c>
      <c r="D16" t="inlineStr">
        <is>
          <t>input</t>
        </is>
      </c>
      <c r="E16" t="inlineStr"/>
      <c r="F16" t="n">
        <v>17</v>
      </c>
      <c r="G16" t="inlineStr">
        <is>
          <t>백만주</t>
        </is>
      </c>
    </row>
    <row r="17">
      <c r="A17" s="2" t="inlineStr">
        <is>
          <t>dps</t>
        </is>
      </c>
      <c r="B17" s="32" t="inlineStr">
        <is>
          <t>DPS (참고)</t>
        </is>
      </c>
      <c r="C17" t="n">
        <v>5</v>
      </c>
      <c r="D17" t="inlineStr">
        <is>
          <t>computed</t>
        </is>
      </c>
      <c r="E17" t="inlineStr"/>
      <c r="F17" t="n">
        <v>18</v>
      </c>
      <c r="G17" t="inlineStr">
        <is>
          <t>원</t>
        </is>
      </c>
    </row>
    <row r="18">
      <c r="A18" s="2" t="inlineStr">
        <is>
          <t>dps_a</t>
        </is>
      </c>
      <c r="B18" s="33" t="inlineStr">
        <is>
          <t>DPS 실적</t>
        </is>
      </c>
      <c r="C18" t="n">
        <v>6</v>
      </c>
      <c r="D18" t="inlineStr">
        <is>
          <t>input</t>
        </is>
      </c>
      <c r="E18" t="inlineStr"/>
      <c r="F18" t="n">
        <v>19</v>
      </c>
      <c r="G18" t="inlineStr">
        <is>
          <t>원</t>
        </is>
      </c>
    </row>
    <row r="19">
      <c r="A19" s="2" t="inlineStr">
        <is>
          <t>payout</t>
        </is>
      </c>
      <c r="B19" s="33" t="inlineStr">
        <is>
          <t>배당성향</t>
        </is>
      </c>
      <c r="C19" t="n">
        <v>6</v>
      </c>
      <c r="D19" t="inlineStr">
        <is>
          <t>input</t>
        </is>
      </c>
      <c r="E19" t="inlineStr"/>
      <c r="F19" t="n">
        <v>20</v>
      </c>
      <c r="G19" t="inlineStr">
        <is>
          <t>%</t>
        </is>
      </c>
    </row>
    <row r="20">
      <c r="A20" s="2" t="inlineStr">
        <is>
          <t>total_revenue</t>
        </is>
      </c>
      <c r="B20" s="31" t="inlineStr">
        <is>
          <t>총매출</t>
        </is>
      </c>
      <c r="C20" t="n">
        <v>4</v>
      </c>
      <c r="D20" t="inlineStr">
        <is>
          <t>computed</t>
        </is>
      </c>
      <c r="E20" t="inlineStr">
        <is>
          <t>Y</t>
        </is>
      </c>
      <c r="F20" t="n">
        <v>21</v>
      </c>
      <c r="G20" t="inlineStr">
        <is>
          <t>억원</t>
        </is>
      </c>
    </row>
    <row r="21">
      <c r="A21" s="2" t="inlineStr">
        <is>
          <t>rf_filter</t>
        </is>
      </c>
      <c r="B21" s="32" t="inlineStr">
        <is>
          <t>RF FILTER류·기타</t>
        </is>
      </c>
      <c r="C21" t="n">
        <v>5</v>
      </c>
      <c r="D21" t="inlineStr">
        <is>
          <t>computed</t>
        </is>
      </c>
      <c r="E21" t="inlineStr"/>
      <c r="F21" t="n">
        <v>22</v>
      </c>
      <c r="G21" t="inlineStr">
        <is>
          <t>억원</t>
        </is>
      </c>
    </row>
    <row r="22">
      <c r="A22" s="2" t="inlineStr">
        <is>
          <t>fil_actual</t>
        </is>
      </c>
      <c r="B22" s="33" t="inlineStr">
        <is>
          <t>FILTER 실적</t>
        </is>
      </c>
      <c r="C22" t="n">
        <v>6</v>
      </c>
      <c r="D22" t="inlineStr">
        <is>
          <t>input</t>
        </is>
      </c>
      <c r="E22" t="inlineStr"/>
      <c r="F22" t="n">
        <v>23</v>
      </c>
      <c r="G22" t="inlineStr">
        <is>
          <t>억원</t>
        </is>
      </c>
    </row>
    <row r="23">
      <c r="A23" s="2" t="inlineStr">
        <is>
          <t>fil_g</t>
        </is>
      </c>
      <c r="B23" s="33" t="inlineStr">
        <is>
          <t>FILTER 성장률</t>
        </is>
      </c>
      <c r="C23" t="n">
        <v>6</v>
      </c>
      <c r="D23" t="inlineStr">
        <is>
          <t>input</t>
        </is>
      </c>
      <c r="E23" t="inlineStr"/>
      <c r="F23" t="n">
        <v>24</v>
      </c>
      <c r="G23" t="inlineStr">
        <is>
          <t>%</t>
        </is>
      </c>
    </row>
    <row r="24">
      <c r="A24" s="2" t="inlineStr">
        <is>
          <t>rf_antenna</t>
        </is>
      </c>
      <c r="B24" s="32" t="inlineStr">
        <is>
          <t>RF ANTENNA류</t>
        </is>
      </c>
      <c r="C24" t="n">
        <v>5</v>
      </c>
      <c r="D24" t="inlineStr">
        <is>
          <t>computed</t>
        </is>
      </c>
      <c r="E24" t="inlineStr"/>
      <c r="F24" t="n">
        <v>25</v>
      </c>
      <c r="G24" t="inlineStr">
        <is>
          <t>억원</t>
        </is>
      </c>
    </row>
    <row r="25">
      <c r="A25" s="2" t="inlineStr">
        <is>
          <t>ant_actual</t>
        </is>
      </c>
      <c r="B25" s="33" t="inlineStr">
        <is>
          <t>ANTENNA 실적</t>
        </is>
      </c>
      <c r="C25" t="n">
        <v>6</v>
      </c>
      <c r="D25" t="inlineStr">
        <is>
          <t>input</t>
        </is>
      </c>
      <c r="E25" t="inlineStr"/>
      <c r="F25" t="n">
        <v>26</v>
      </c>
      <c r="G25" t="inlineStr">
        <is>
          <t>억원</t>
        </is>
      </c>
    </row>
    <row r="26">
      <c r="A26" s="2" t="inlineStr">
        <is>
          <t>ant_g</t>
        </is>
      </c>
      <c r="B26" s="33" t="inlineStr">
        <is>
          <t>ANTENNA 성장률</t>
        </is>
      </c>
      <c r="C26" t="n">
        <v>6</v>
      </c>
      <c r="D26" t="inlineStr">
        <is>
          <t>input</t>
        </is>
      </c>
      <c r="E26" t="inlineStr"/>
      <c r="F26" t="n">
        <v>27</v>
      </c>
      <c r="G26" t="inlineStr">
        <is>
          <t>%</t>
        </is>
      </c>
    </row>
    <row r="27">
      <c r="A27" s="2" t="inlineStr">
        <is>
          <t>rf_system</t>
        </is>
      </c>
      <c r="B27" s="32" t="inlineStr">
        <is>
          <t>RF SYSTEM류</t>
        </is>
      </c>
      <c r="C27" t="n">
        <v>5</v>
      </c>
      <c r="D27" t="inlineStr">
        <is>
          <t>computed</t>
        </is>
      </c>
      <c r="E27" t="inlineStr"/>
      <c r="F27" t="n">
        <v>28</v>
      </c>
      <c r="G27" t="inlineStr">
        <is>
          <t>억원</t>
        </is>
      </c>
    </row>
    <row r="28">
      <c r="A28" s="2" t="inlineStr">
        <is>
          <t>sys_actual</t>
        </is>
      </c>
      <c r="B28" s="33" t="inlineStr">
        <is>
          <t>SYSTEM 실적</t>
        </is>
      </c>
      <c r="C28" t="n">
        <v>6</v>
      </c>
      <c r="D28" t="inlineStr">
        <is>
          <t>input</t>
        </is>
      </c>
      <c r="E28" t="inlineStr"/>
      <c r="F28" t="n">
        <v>29</v>
      </c>
      <c r="G28" t="inlineStr">
        <is>
          <t>억원</t>
        </is>
      </c>
    </row>
    <row r="29">
      <c r="A29" s="2" t="inlineStr">
        <is>
          <t>sys_g</t>
        </is>
      </c>
      <c r="B29" s="33" t="inlineStr">
        <is>
          <t>SYSTEM 성장률</t>
        </is>
      </c>
      <c r="C29" t="n">
        <v>6</v>
      </c>
      <c r="D29" t="inlineStr">
        <is>
          <t>input</t>
        </is>
      </c>
      <c r="E29" t="inlineStr"/>
      <c r="F29" t="n">
        <v>30</v>
      </c>
      <c r="G29" t="inlineStr">
        <is>
          <t>%</t>
        </is>
      </c>
    </row>
    <row r="30">
      <c r="A30" s="2" t="inlineStr">
        <is>
          <t>led</t>
        </is>
      </c>
      <c r="B30" s="32" t="inlineStr">
        <is>
          <t>LED</t>
        </is>
      </c>
      <c r="C30" t="n">
        <v>5</v>
      </c>
      <c r="D30" t="inlineStr">
        <is>
          <t>computed</t>
        </is>
      </c>
      <c r="E30" t="inlineStr"/>
      <c r="F30" t="n">
        <v>31</v>
      </c>
      <c r="G30" t="inlineStr">
        <is>
          <t>억원</t>
        </is>
      </c>
    </row>
    <row r="31">
      <c r="A31" s="2" t="inlineStr">
        <is>
          <t>led_actual</t>
        </is>
      </c>
      <c r="B31" s="33" t="inlineStr">
        <is>
          <t>LED 실적</t>
        </is>
      </c>
      <c r="C31" t="n">
        <v>6</v>
      </c>
      <c r="D31" t="inlineStr">
        <is>
          <t>input</t>
        </is>
      </c>
      <c r="E31" t="inlineStr"/>
      <c r="F31" t="n">
        <v>32</v>
      </c>
      <c r="G31" t="inlineStr">
        <is>
          <t>억원</t>
        </is>
      </c>
    </row>
    <row r="32">
      <c r="A32" s="2" t="inlineStr">
        <is>
          <t>led_g</t>
        </is>
      </c>
      <c r="B32" s="33" t="inlineStr">
        <is>
          <t>LED 성장률</t>
        </is>
      </c>
      <c r="C32" t="n">
        <v>6</v>
      </c>
      <c r="D32" t="inlineStr">
        <is>
          <t>input</t>
        </is>
      </c>
      <c r="E32" t="inlineStr"/>
      <c r="F32" t="n">
        <v>33</v>
      </c>
      <c r="G32" t="inlineStr">
        <is>
          <t>%</t>
        </is>
      </c>
    </row>
    <row r="33">
      <c r="A33" s="2" t="inlineStr">
        <is>
          <t>cogs</t>
        </is>
      </c>
      <c r="B33" s="31" t="inlineStr">
        <is>
          <t>매출원가</t>
        </is>
      </c>
      <c r="C33" t="n">
        <v>4</v>
      </c>
      <c r="D33" t="inlineStr">
        <is>
          <t>computed</t>
        </is>
      </c>
      <c r="E33" t="inlineStr"/>
      <c r="F33" t="n">
        <v>34</v>
      </c>
      <c r="G33" t="inlineStr">
        <is>
          <t>억원</t>
        </is>
      </c>
    </row>
    <row r="34">
      <c r="A34" s="2" t="inlineStr">
        <is>
          <t>cogs_actual</t>
        </is>
      </c>
      <c r="B34" s="32" t="inlineStr">
        <is>
          <t>매출원가 실적</t>
        </is>
      </c>
      <c r="C34" t="n">
        <v>5</v>
      </c>
      <c r="D34" t="inlineStr">
        <is>
          <t>input</t>
        </is>
      </c>
      <c r="E34" t="inlineStr"/>
      <c r="F34" t="n">
        <v>35</v>
      </c>
      <c r="G34" t="inlineStr">
        <is>
          <t>억원</t>
        </is>
      </c>
    </row>
    <row r="35">
      <c r="A35" s="2" t="inlineStr">
        <is>
          <t>cogs_ratio</t>
        </is>
      </c>
      <c r="B35" s="32" t="inlineStr">
        <is>
          <t>매출원가율</t>
        </is>
      </c>
      <c r="C35" t="n">
        <v>5</v>
      </c>
      <c r="D35" t="inlineStr">
        <is>
          <t>input</t>
        </is>
      </c>
      <c r="E35" t="inlineStr"/>
      <c r="F35" t="n">
        <v>36</v>
      </c>
      <c r="G35" t="inlineStr">
        <is>
          <t>%</t>
        </is>
      </c>
    </row>
    <row r="36">
      <c r="A36" s="2" t="inlineStr">
        <is>
          <t>sga_cost</t>
        </is>
      </c>
      <c r="B36" s="31" t="inlineStr">
        <is>
          <t>판매비와관리비</t>
        </is>
      </c>
      <c r="C36" t="n">
        <v>4</v>
      </c>
      <c r="D36" t="inlineStr">
        <is>
          <t>computed</t>
        </is>
      </c>
      <c r="E36" t="inlineStr"/>
      <c r="F36" t="n">
        <v>37</v>
      </c>
      <c r="G36" t="inlineStr">
        <is>
          <t>억원</t>
        </is>
      </c>
    </row>
    <row r="37">
      <c r="A37" s="2" t="inlineStr">
        <is>
          <t>sga_actual</t>
        </is>
      </c>
      <c r="B37" s="32" t="inlineStr">
        <is>
          <t>판관비 실적</t>
        </is>
      </c>
      <c r="C37" t="n">
        <v>5</v>
      </c>
      <c r="D37" t="inlineStr">
        <is>
          <t>input</t>
        </is>
      </c>
      <c r="E37" t="inlineStr"/>
      <c r="F37" t="n">
        <v>38</v>
      </c>
      <c r="G37" t="inlineStr">
        <is>
          <t>억원</t>
        </is>
      </c>
    </row>
    <row r="38">
      <c r="A38" s="2" t="inlineStr">
        <is>
          <t>sga_g</t>
        </is>
      </c>
      <c r="B38" s="32" t="inlineStr">
        <is>
          <t>판관비 증가율</t>
        </is>
      </c>
      <c r="C38" t="n">
        <v>5</v>
      </c>
      <c r="D38" t="inlineStr">
        <is>
          <t>input</t>
        </is>
      </c>
      <c r="E38" t="inlineStr"/>
      <c r="F38" t="n">
        <v>39</v>
      </c>
      <c r="G38" t="inlineStr">
        <is>
          <t>%</t>
        </is>
      </c>
    </row>
    <row r="39">
      <c r="A39" s="2" t="inlineStr">
        <is>
          <t>rnd_cost</t>
        </is>
      </c>
      <c r="B39" s="31" t="inlineStr">
        <is>
          <t>경상연구개발비</t>
        </is>
      </c>
      <c r="C39" t="n">
        <v>4</v>
      </c>
      <c r="D39" t="inlineStr">
        <is>
          <t>computed</t>
        </is>
      </c>
      <c r="E39" t="inlineStr"/>
      <c r="F39" t="n">
        <v>40</v>
      </c>
      <c r="G39" t="inlineStr">
        <is>
          <t>억원</t>
        </is>
      </c>
    </row>
    <row r="40">
      <c r="A40" s="2" t="inlineStr">
        <is>
          <t>rnd_actual</t>
        </is>
      </c>
      <c r="B40" s="32" t="inlineStr">
        <is>
          <t>연구개발비 실적</t>
        </is>
      </c>
      <c r="C40" t="n">
        <v>5</v>
      </c>
      <c r="D40" t="inlineStr">
        <is>
          <t>input</t>
        </is>
      </c>
      <c r="E40" t="inlineStr"/>
      <c r="F40" t="n">
        <v>41</v>
      </c>
      <c r="G40" t="inlineStr">
        <is>
          <t>억원</t>
        </is>
      </c>
    </row>
    <row r="41">
      <c r="A41" s="2" t="inlineStr">
        <is>
          <t>rnd_g</t>
        </is>
      </c>
      <c r="B41" s="32" t="inlineStr">
        <is>
          <t>연구개발비 증가율</t>
        </is>
      </c>
      <c r="C41" t="n">
        <v>5</v>
      </c>
      <c r="D41" t="inlineStr">
        <is>
          <t>input</t>
        </is>
      </c>
      <c r="E41" t="inlineStr"/>
      <c r="F41" t="n">
        <v>42</v>
      </c>
      <c r="G41" t="inlineStr">
        <is>
          <t>%</t>
        </is>
      </c>
    </row>
    <row r="42">
      <c r="A42" s="2" t="inlineStr">
        <is>
          <t>dep_total</t>
        </is>
      </c>
      <c r="B42" s="30" t="inlineStr">
        <is>
          <t>유·무형 감가상각비</t>
        </is>
      </c>
      <c r="C42" t="n">
        <v>3</v>
      </c>
      <c r="D42" t="inlineStr">
        <is>
          <t>computed</t>
        </is>
      </c>
      <c r="E42" t="inlineStr"/>
      <c r="F42" t="n">
        <v>43</v>
      </c>
      <c r="G42" t="inlineStr">
        <is>
          <t>억원</t>
        </is>
      </c>
    </row>
    <row r="43">
      <c r="A43" s="2" t="inlineStr">
        <is>
          <t>dep_actual</t>
        </is>
      </c>
      <c r="B43" s="31" t="inlineStr">
        <is>
          <t>감가상각 실적</t>
        </is>
      </c>
      <c r="C43" t="n">
        <v>4</v>
      </c>
      <c r="D43" t="inlineStr">
        <is>
          <t>input</t>
        </is>
      </c>
      <c r="E43" t="inlineStr"/>
      <c r="F43" t="n">
        <v>44</v>
      </c>
      <c r="G43" t="inlineStr">
        <is>
          <t>억원</t>
        </is>
      </c>
    </row>
    <row r="44">
      <c r="A44" s="2" t="inlineStr">
        <is>
          <t>dep_g</t>
        </is>
      </c>
      <c r="B44" s="31" t="inlineStr">
        <is>
          <t>감가상각 증가율</t>
        </is>
      </c>
      <c r="C44" t="n">
        <v>4</v>
      </c>
      <c r="D44" t="inlineStr">
        <is>
          <t>input</t>
        </is>
      </c>
      <c r="E44" t="inlineStr"/>
      <c r="F44" t="n">
        <v>45</v>
      </c>
      <c r="G44" t="inlineStr">
        <is>
          <t>%</t>
        </is>
      </c>
    </row>
    <row r="45">
      <c r="A45" s="2" t="inlineStr">
        <is>
          <t>net_debt</t>
        </is>
      </c>
      <c r="B45" s="28" t="inlineStr">
        <is>
          <t>순차입금</t>
        </is>
      </c>
      <c r="C45" t="n">
        <v>1</v>
      </c>
      <c r="D45" t="inlineStr">
        <is>
          <t>input</t>
        </is>
      </c>
      <c r="E45" t="inlineStr"/>
      <c r="F45" t="n">
        <v>46</v>
      </c>
      <c r="G45" t="inlineStr">
        <is>
          <t>억원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검증</t>
        </is>
      </c>
    </row>
    <row r="2">
      <c r="A2" s="2" t="inlineStr">
        <is>
          <t>합계형 노드의 부모값과 자식 합의 차이. 전 칸이 0이어야 한다.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검사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5" t="inlineStr">
        <is>
          <t>EBITDA</t>
        </is>
      </c>
      <c r="B5" s="2" t="inlineStr">
        <is>
          <t>부모 − 자식합</t>
        </is>
      </c>
      <c r="D5" s="34">
        <f>ROUND(Model!D8-(Model!D9+Model!D43),6)</f>
        <v/>
      </c>
      <c r="E5" s="34">
        <f>ROUND(Model!E8-(Model!E9+Model!E43),6)</f>
        <v/>
      </c>
      <c r="F5" s="34">
        <f>ROUND(Model!F8-(Model!F9+Model!F43),6)</f>
        <v/>
      </c>
      <c r="G5" s="34">
        <f>ROUND(Model!G8-(Model!G9+Model!G43),6)</f>
        <v/>
      </c>
      <c r="H5" s="34">
        <f>ROUND(Model!H8-(Model!H9+Model!H43),6)</f>
        <v/>
      </c>
      <c r="I5" s="34">
        <f>ROUND(Model!I8-(Model!I9+Model!I43),6)</f>
        <v/>
      </c>
      <c r="J5" s="34">
        <f>ROUND(Model!J8-(Model!J9+Model!J43),6)</f>
        <v/>
      </c>
      <c r="K5" s="34">
        <f>ROUND(Model!K8-(Model!K9+Model!K43),6)</f>
        <v/>
      </c>
      <c r="L5" s="34">
        <f>ROUND(Model!L8-(Model!L9+Model!L43),6)</f>
        <v/>
      </c>
      <c r="M5" s="34">
        <f>ROUND(Model!M8-(Model!M9+Model!M43),6)</f>
        <v/>
      </c>
    </row>
    <row r="6">
      <c r="A6" s="5" t="inlineStr">
        <is>
          <t>총매출</t>
        </is>
      </c>
      <c r="B6" s="2" t="inlineStr">
        <is>
          <t>부모 − 자식합</t>
        </is>
      </c>
      <c r="D6" s="34">
        <f>ROUND(Model!D21-(Model!D22+Model!D25+Model!D28+Model!D31),6)</f>
        <v/>
      </c>
      <c r="E6" s="34">
        <f>ROUND(Model!E21-(Model!E22+Model!E25+Model!E28+Model!E31),6)</f>
        <v/>
      </c>
      <c r="F6" s="34">
        <f>ROUND(Model!F21-(Model!F22+Model!F25+Model!F28+Model!F31),6)</f>
        <v/>
      </c>
      <c r="G6" s="34">
        <f>ROUND(Model!G21-(Model!G22+Model!G25+Model!G28+Model!G31),6)</f>
        <v/>
      </c>
      <c r="H6" s="34">
        <f>ROUND(Model!H21-(Model!H22+Model!H25+Model!H28+Model!H31),6)</f>
        <v/>
      </c>
      <c r="I6" s="34">
        <f>ROUND(Model!I21-(Model!I22+Model!I25+Model!I28+Model!I31),6)</f>
        <v/>
      </c>
      <c r="J6" s="34">
        <f>ROUND(Model!J21-(Model!J22+Model!J25+Model!J28+Model!J31),6)</f>
        <v/>
      </c>
      <c r="K6" s="34">
        <f>ROUND(Model!K21-(Model!K22+Model!K25+Model!K28+Model!K31),6)</f>
        <v/>
      </c>
      <c r="L6" s="34">
        <f>ROUND(Model!L21-(Model!L22+Model!L25+Model!L28+Model!L31),6)</f>
        <v/>
      </c>
      <c r="M6" s="34">
        <f>ROUND(Model!M21-(Model!M22+Model!M25+Model!M28+Model!M31),6)</f>
        <v/>
      </c>
    </row>
    <row r="8">
      <c r="A8" s="4" t="inlineStr">
        <is>
          <t>합계형 노드 수</t>
        </is>
      </c>
      <c r="B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빌드 정보</t>
        </is>
      </c>
    </row>
    <row r="3">
      <c r="A3" s="4" t="inlineStr">
        <is>
          <t>소스</t>
        </is>
      </c>
      <c r="B3" t="inlineStr">
        <is>
          <t>model.html</t>
        </is>
      </c>
    </row>
    <row r="4">
      <c r="A4" s="4" t="inlineStr">
        <is>
          <t>소스 해시 (sha256 앞 16자리)</t>
        </is>
      </c>
      <c r="B4" t="inlineStr">
        <is>
          <t>cb64f5beda7cb937</t>
        </is>
      </c>
    </row>
    <row r="5">
      <c r="A5" s="4" t="inlineStr">
        <is>
          <t>빌더</t>
        </is>
      </c>
      <c r="B5" t="inlineStr">
        <is>
          <t>tools/build_excel.py</t>
        </is>
      </c>
    </row>
    <row r="6">
      <c r="A6" s="4" t="inlineStr">
        <is>
          <t>수식 변환</t>
        </is>
      </c>
      <c r="B6" t="inlineStr">
        <is>
          <t>엔진 astToExcel (JS) — 파이썬은 배치만 한다</t>
        </is>
      </c>
    </row>
    <row r="7">
      <c r="A7" s="4" t="inlineStr">
        <is>
          <t>노드 수</t>
        </is>
      </c>
      <c r="B7" t="n">
        <v>42</v>
      </c>
    </row>
    <row r="8">
      <c r="A8" s="4" t="inlineStr">
        <is>
          <t>입력 노드 수</t>
        </is>
      </c>
      <c r="B8" t="n">
        <v>26</v>
      </c>
    </row>
    <row r="9">
      <c r="A9" s="4" t="inlineStr">
        <is>
          <t>연도 수</t>
        </is>
      </c>
      <c r="B9" t="n">
        <v>10</v>
      </c>
    </row>
    <row r="10">
      <c r="A10" s="4" t="inlineStr">
        <is>
          <t>HIST_N</t>
        </is>
      </c>
      <c r="B10" t="n">
        <v>5</v>
      </c>
    </row>
    <row r="11">
      <c r="A11" s="4" t="inlineStr">
        <is>
          <t>모델 id</t>
        </is>
      </c>
      <c r="B11" t="inlineStr">
        <is>
          <t>kmw_spectrum_cycle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tools/build_excel.py</dc:creator>
  <dcterms:created xsi:type="dcterms:W3CDTF">2000-01-01T00:00:00Z</dcterms:created>
  <dcterms:modified xsi:type="dcterms:W3CDTF">2000-01-01T00:00:00Z</dcterms:modified>
</cp:coreProperties>
</file>
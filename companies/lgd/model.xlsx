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LG디스플레이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LG디스플레이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 (턴어라운드)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3.5</v>
      </c>
      <c r="E5" s="9" t="n">
        <v>3.5</v>
      </c>
      <c r="F5" s="9" t="n">
        <v>3.5</v>
      </c>
      <c r="G5" s="9" t="n">
        <v>3.5</v>
      </c>
      <c r="H5" s="9" t="n">
        <v>3.5</v>
      </c>
      <c r="I5" s="10" t="n">
        <v>3.5</v>
      </c>
      <c r="J5" s="10" t="n">
        <v>3.5</v>
      </c>
      <c r="K5" s="10" t="n">
        <v>3.5</v>
      </c>
      <c r="L5" s="10" t="n">
        <v>3.5</v>
      </c>
      <c r="M5" s="10" t="n">
        <v>3.5</v>
      </c>
      <c r="N5" s="11" t="inlineStr">
        <is>
          <t>[주관·시나리오] 3.5배. 현재 시장이 매기는 3.27배(WISE 3.27, 본 모델 3.26 — 0.3% 차이로 교차검증)보다 소폭 높고, 대만 패널사(AUO 10.7 · 이노룩스 11.4배)보다 한참 낮다. 대만 배수는 1년 수익률 +104%·+268%가 말하듯 AI 테마로 재평가된 값이라 그대로 쓰지 않는다. 디스플레이는 유지 CAPEX가 크고 중국 경쟁이 구조적이라 사이클 중립 3~4배가 이 회사의 10년 역사적 범위다.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11861.82</v>
      </c>
      <c r="E7" s="9" t="n">
        <v>-30715.65</v>
      </c>
      <c r="F7" s="9" t="n">
        <v>-27337.42</v>
      </c>
      <c r="G7" s="9" t="n">
        <v>-25626.06</v>
      </c>
      <c r="H7" s="9" t="n">
        <v>2263.12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-5117.23</v>
      </c>
      <c r="E8" s="9" t="n">
        <v>-13483.23</v>
      </c>
      <c r="F8" s="9" t="n">
        <v>-8292.77</v>
      </c>
      <c r="G8" s="9" t="n">
        <v>-16309.44</v>
      </c>
      <c r="H8" s="9" t="n">
        <v>-152.88</v>
      </c>
      <c r="I8" s="10" t="n">
        <v>-300</v>
      </c>
      <c r="J8" s="10" t="n">
        <v>-300</v>
      </c>
      <c r="K8" s="10" t="n">
        <v>-300</v>
      </c>
      <c r="L8" s="10" t="n">
        <v>-300</v>
      </c>
      <c r="M8" s="10" t="n">
        <v>-300</v>
      </c>
      <c r="N8" s="11" t="inlineStr">
        <is>
          <t>[주관 추정 · 실적은 공시값] 영업외손익 = 세전이익 − 영업이익. 실적 −5,117/−13,483/−8,293/−16,309/−153억 — 손상차손이 지배해 과거는 예측 불가. 2025(−153억)를 바닥으로 이자 부담을 감안해 **−300억 고정**. 손상 재발은 Bear의 영역.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0.25</v>
      </c>
      <c r="J9" s="13" t="n">
        <v>0.25</v>
      </c>
      <c r="K9" s="13" t="n">
        <v>0.25</v>
      </c>
      <c r="L9" s="13" t="n">
        <v>0.25</v>
      </c>
      <c r="M9" s="13" t="n">
        <v>0.25</v>
      </c>
      <c r="N9" s="11" t="inlineStr">
        <is>
          <t>[주관] 실효세율. 2025 실효 39.4%는 이연법인세 영향 — 정상화 25% 가정.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0.75</v>
      </c>
      <c r="J10" s="13" t="n">
        <v>0.75</v>
      </c>
      <c r="K10" s="13" t="n">
        <v>0.75</v>
      </c>
      <c r="L10" s="13" t="n">
        <v>0.75</v>
      </c>
      <c r="M10" s="13" t="n">
        <v>0.75</v>
      </c>
      <c r="N10" s="11" t="inlineStr">
        <is>
          <t>[주관] 지배지분 비율. 2025 지배 74.5%(광저우 등 비지배 흑자) — **회복 이익의 1/4은 주주 몫이 아니다**. 75%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500</v>
      </c>
      <c r="E11" s="9" t="n">
        <v>500</v>
      </c>
      <c r="F11" s="9" t="n">
        <v>500</v>
      </c>
      <c r="G11" s="9" t="n">
        <v>500</v>
      </c>
      <c r="H11" s="9" t="n">
        <v>500</v>
      </c>
      <c r="I11" s="10" t="n">
        <v>500</v>
      </c>
      <c r="J11" s="10" t="n">
        <v>500</v>
      </c>
      <c r="K11" s="10" t="n">
        <v>500</v>
      </c>
      <c r="L11" s="10" t="n">
        <v>500</v>
      </c>
      <c r="M11" s="10" t="n">
        <v>500</v>
      </c>
      <c r="N11" s="11" t="inlineStr">
        <is>
          <t>[객관] 상장주식수 5.0억주(2024 유상증자 반영) 고정.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650</v>
      </c>
      <c r="E12" s="9" t="n">
        <v>0</v>
      </c>
      <c r="F12" s="9" t="n">
        <v>0</v>
      </c>
      <c r="G12" s="9" t="n">
        <v>0</v>
      </c>
      <c r="H12" s="9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현금배당. 2021 650원 이후 무배당.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1" t="inlineStr">
        <is>
          <t>[주관] 배당성향 0% — 순차입금 상환이 우선이라 **배당 재개를 가정하지 않는다**. 재개 시나리오는 이 슬라이더로 본다.</t>
        </is>
      </c>
    </row>
    <row r="14">
      <c r="A14" s="5" t="inlineStr">
        <is>
          <t>감가상각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45007.01</v>
      </c>
      <c r="E14" s="9" t="n">
        <v>45574.57</v>
      </c>
      <c r="F14" s="9" t="n">
        <v>42137.42</v>
      </c>
      <c r="G14" s="9" t="n">
        <v>51256.37</v>
      </c>
      <c r="H14" s="9" t="n">
        <v>43541.45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비용의 성격별 분류 주석.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-0.12</v>
      </c>
      <c r="J15" s="13" t="n">
        <v>-0.1</v>
      </c>
      <c r="K15" s="13" t="n">
        <v>-0.08</v>
      </c>
      <c r="L15" s="13" t="n">
        <v>-0.05</v>
      </c>
      <c r="M15" s="13" t="n">
        <v>-0.03</v>
      </c>
      <c r="N15" s="11" t="inlineStr">
        <is>
          <t>[주관] CAPEX가 5.08조(2022) → 1.35조(2025)로 **4년간 73% 줄었다**. 감가상각 4.35조 대비 CAPEX 1.35조 — 신규 투자가 상각 소멸분을 채우지 못하므로 감가상각은 구조적으로 감소한다. 연 −12%에서 −3%로 체감. 이 감소가 영업이익 개선의 기계적 동력이다 (삼성전기의 역방향).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231467.34</v>
      </c>
      <c r="E16" s="9" t="n">
        <v>236793.71</v>
      </c>
      <c r="F16" s="9" t="n">
        <v>196272.41</v>
      </c>
      <c r="G16" s="9" t="n">
        <v>220503.06</v>
      </c>
      <c r="H16" s="9" t="n">
        <v>209389.6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0.8100000000000001</v>
      </c>
      <c r="J17" s="13" t="n">
        <v>0.8080000000000001</v>
      </c>
      <c r="K17" s="13" t="n">
        <v>0.806</v>
      </c>
      <c r="L17" s="13" t="n">
        <v>0.805</v>
      </c>
      <c r="M17" s="13" t="n">
        <v>0.804</v>
      </c>
      <c r="N17" s="11" t="inlineStr">
        <is>
          <t>[주관] 실적 77.5 → 90.5 → 92.0 → 82.8 → 81.1%. 판가 사이클에 따라 15%p 진동한다. 2025년 수준(81.1%)에서 사실상 고정하고 연 0.1~0.2%p만 개선 — OLED 믹스 개선과 중국 LCD 판가 압박이 상쇄된다고 봤다. 2021년(77.5%) 복귀는 Bull에서만 가정한다.</t>
        </is>
      </c>
    </row>
    <row r="18">
      <c r="A18" s="5" t="inlineStr">
        <is>
          <t>매출 실적</t>
        </is>
      </c>
      <c r="B18" s="2" t="inlineStr">
        <is>
          <t>rev_actual</t>
        </is>
      </c>
      <c r="C18" s="2" t="inlineStr">
        <is>
          <t>억원</t>
        </is>
      </c>
      <c r="D18" s="9" t="n">
        <v>298780.43</v>
      </c>
      <c r="E18" s="9" t="n">
        <v>261517.81</v>
      </c>
      <c r="F18" s="9" t="n">
        <v>213308.19</v>
      </c>
      <c r="G18" s="9" t="n">
        <v>266153.47</v>
      </c>
      <c r="H18" s="9" t="n">
        <v>258100.82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요약연결재무정보.</t>
        </is>
      </c>
    </row>
    <row r="19">
      <c r="A19" s="5" t="inlineStr">
        <is>
          <t>매출 성장률</t>
        </is>
      </c>
      <c r="B19" s="2" t="inlineStr">
        <is>
          <t>rev_g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-0.01</v>
      </c>
      <c r="J19" s="13" t="n">
        <v>0.01</v>
      </c>
      <c r="K19" s="13" t="n">
        <v>0.01</v>
      </c>
      <c r="L19" s="13" t="n">
        <v>0.01</v>
      </c>
      <c r="M19" s="13" t="n">
        <v>0.01</v>
      </c>
      <c r="N19" s="11" t="inlineStr">
        <is>
          <t>[주관] 2026년 −1% 후 연 +1%. 컨센서스 2026 EBITDA가 2025년과 사실상 같은 수준(48,059 vs 48,711억)이라 시장도 매출 성장을 보지 않는다. LCD 축소가 이어지고 OLED(Auto·IT)가 그 공백을 겨우 메우는 그림. 성장이 아니라 **수익성과 레버리지**가 이 종목의 이야기다.</t>
        </is>
      </c>
    </row>
    <row r="20">
      <c r="A20" s="5" t="inlineStr">
        <is>
          <t>순차입금</t>
        </is>
      </c>
      <c r="B20" s="2" t="inlineStr">
        <is>
          <t>net_debt</t>
        </is>
      </c>
      <c r="C20" s="2" t="inlineStr">
        <is>
          <t>억원</t>
        </is>
      </c>
      <c r="D20" s="9" t="n">
        <v>91222.09</v>
      </c>
      <c r="E20" s="9" t="n">
        <v>131667.61</v>
      </c>
      <c r="F20" s="9" t="n">
        <v>142716.07</v>
      </c>
      <c r="G20" s="9" t="n">
        <v>125284.74</v>
      </c>
      <c r="H20" s="9" t="n">
        <v>110920.8</v>
      </c>
      <c r="I20" s="10" t="n">
        <v>110920.8</v>
      </c>
      <c r="J20" s="10" t="n">
        <v>110920.8</v>
      </c>
      <c r="K20" s="10" t="n">
        <v>110920.8</v>
      </c>
      <c r="L20" s="10" t="n">
        <v>110920.8</v>
      </c>
      <c r="M20" s="10" t="n">
        <v>110920.8</v>
      </c>
      <c r="N20" s="11" t="inlineStr">
        <is>
          <t>[객관 실적 / 추정 구간 고정] 단기차입금+유동성장기+장기차입금+사채 − 현금및현금성자산 (리스부채·파생 제외). 2022년 값이 두 보고서에서 14,991,410백만원으로 정확히 일치해 체인이 검증됐다. 정점 14.27조(2023)에서 11.09조(2025)로 2년간 3.2조 줄었다 — CAPEX 축소로 FCF가 돌기 시작한 결과다. 추정 구간은 2025년 수준 고정: 실제로는 더 줄 가능성이 높아 **보수적인 쪽**이지만, 차입 상환 속도를 모델링하려면 운전자본·리스·배당 가정이 다 필요해 넣지 않았다.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LG디스플레이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(D6-D31)</f>
        <v/>
      </c>
      <c r="E5" s="14">
        <f>(E6-E31)</f>
        <v/>
      </c>
      <c r="F5" s="14">
        <f>(F6-F31)</f>
        <v/>
      </c>
      <c r="G5" s="14">
        <f>(G6-G31)</f>
        <v/>
      </c>
      <c r="H5" s="14">
        <f>(H6-H31)</f>
        <v/>
      </c>
      <c r="I5" s="14">
        <f>(I6-I31)</f>
        <v/>
      </c>
      <c r="J5" s="14">
        <f>(J6-J31)</f>
        <v/>
      </c>
      <c r="K5" s="14">
        <f>(K6-K31)</f>
        <v/>
      </c>
      <c r="L5" s="14">
        <f>(L6-L31)</f>
        <v/>
      </c>
      <c r="M5" s="14">
        <f>(M6-M31)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3.5</v>
      </c>
      <c r="E7" s="19" t="n">
        <v>3.5</v>
      </c>
      <c r="F7" s="19" t="n">
        <v>3.5</v>
      </c>
      <c r="G7" s="19" t="n">
        <v>3.5</v>
      </c>
      <c r="H7" s="19" t="n">
        <v>3.5</v>
      </c>
      <c r="I7" s="20" t="n">
        <v>3.5</v>
      </c>
      <c r="J7" s="20" t="n">
        <v>3.5</v>
      </c>
      <c r="K7" s="20" t="n">
        <v>3.5</v>
      </c>
      <c r="L7" s="20" t="n">
        <v>3.5</v>
      </c>
      <c r="M7" s="20" t="n">
        <v>3.5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11861.82</v>
      </c>
      <c r="E12" s="19" t="n">
        <v>-30715.65</v>
      </c>
      <c r="F12" s="19" t="n">
        <v>-27337.42</v>
      </c>
      <c r="G12" s="19" t="n">
        <v>-25626.06</v>
      </c>
      <c r="H12" s="19" t="n">
        <v>2263.12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-5117.23</v>
      </c>
      <c r="E13" s="19" t="n">
        <v>-13483.23</v>
      </c>
      <c r="F13" s="19" t="n">
        <v>-8292.77</v>
      </c>
      <c r="G13" s="19" t="n">
        <v>-16309.44</v>
      </c>
      <c r="H13" s="19" t="n">
        <v>-152.88</v>
      </c>
      <c r="I13" s="20" t="n">
        <v>-300</v>
      </c>
      <c r="J13" s="20" t="n">
        <v>-300</v>
      </c>
      <c r="K13" s="20" t="n">
        <v>-300</v>
      </c>
      <c r="L13" s="20" t="n">
        <v>-300</v>
      </c>
      <c r="M13" s="20" t="n">
        <v>-300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0.25</v>
      </c>
      <c r="J14" s="25" t="n">
        <v>0.25</v>
      </c>
      <c r="K14" s="25" t="n">
        <v>0.25</v>
      </c>
      <c r="L14" s="25" t="n">
        <v>0.25</v>
      </c>
      <c r="M14" s="25" t="n">
        <v>0.25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0.75</v>
      </c>
      <c r="J15" s="25" t="n">
        <v>0.75</v>
      </c>
      <c r="K15" s="25" t="n">
        <v>0.75</v>
      </c>
      <c r="L15" s="25" t="n">
        <v>0.75</v>
      </c>
      <c r="M15" s="25" t="n">
        <v>0.75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500</v>
      </c>
      <c r="E17" s="19" t="n">
        <v>500</v>
      </c>
      <c r="F17" s="19" t="n">
        <v>500</v>
      </c>
      <c r="G17" s="19" t="n">
        <v>500</v>
      </c>
      <c r="H17" s="19" t="n">
        <v>500</v>
      </c>
      <c r="I17" s="20" t="n">
        <v>500</v>
      </c>
      <c r="J17" s="20" t="n">
        <v>500</v>
      </c>
      <c r="K17" s="20" t="n">
        <v>500</v>
      </c>
      <c r="L17" s="20" t="n">
        <v>500</v>
      </c>
      <c r="M17" s="20" t="n">
        <v>500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650</v>
      </c>
      <c r="E19" s="19" t="n">
        <v>0</v>
      </c>
      <c r="F19" s="19" t="n">
        <v>0</v>
      </c>
      <c r="G19" s="19" t="n">
        <v>0</v>
      </c>
      <c r="H19" s="19" t="n">
        <v>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45007.01</v>
      </c>
      <c r="E23" s="19" t="n">
        <v>45574.57</v>
      </c>
      <c r="F23" s="19" t="n">
        <v>42137.42</v>
      </c>
      <c r="G23" s="19" t="n">
        <v>51256.37</v>
      </c>
      <c r="H23" s="19" t="n">
        <v>43541.45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-0.12</v>
      </c>
      <c r="J24" s="25" t="n">
        <v>-0.1</v>
      </c>
      <c r="K24" s="25" t="n">
        <v>-0.08</v>
      </c>
      <c r="L24" s="25" t="n">
        <v>-0.05</v>
      </c>
      <c r="M24" s="25" t="n">
        <v>-0.03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231467.34</v>
      </c>
      <c r="E26" s="19" t="n">
        <v>236793.71</v>
      </c>
      <c r="F26" s="19" t="n">
        <v>196272.41</v>
      </c>
      <c r="G26" s="19" t="n">
        <v>220503.06</v>
      </c>
      <c r="H26" s="19" t="n">
        <v>209389.6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0.8100000000000001</v>
      </c>
      <c r="J27" s="25" t="n">
        <v>0.8080000000000001</v>
      </c>
      <c r="K27" s="25" t="n">
        <v>0.806</v>
      </c>
      <c r="L27" s="25" t="n">
        <v>0.805</v>
      </c>
      <c r="M27" s="25" t="n">
        <v>0.804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6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  <c r="M28" s="17">
        <f>IF((M29&gt;0),M29,(L28*(1+M30)))</f>
        <v/>
      </c>
    </row>
    <row r="29">
      <c r="A29" s="23" t="inlineStr">
        <is>
          <t>매출 실적</t>
        </is>
      </c>
      <c r="B29" s="2" t="inlineStr">
        <is>
          <t>rev_actual</t>
        </is>
      </c>
      <c r="C29" s="2" t="inlineStr">
        <is>
          <t>억원</t>
        </is>
      </c>
      <c r="D29" s="19" t="n">
        <v>298780.43</v>
      </c>
      <c r="E29" s="19" t="n">
        <v>261517.81</v>
      </c>
      <c r="F29" s="19" t="n">
        <v>213308.19</v>
      </c>
      <c r="G29" s="19" t="n">
        <v>266153.47</v>
      </c>
      <c r="H29" s="19" t="n">
        <v>258100.82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3" t="inlineStr">
        <is>
          <t>매출 성장률</t>
        </is>
      </c>
      <c r="B30" s="2" t="inlineStr">
        <is>
          <t>rev_g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-0.01</v>
      </c>
      <c r="J30" s="25" t="n">
        <v>0.01</v>
      </c>
      <c r="K30" s="25" t="n">
        <v>0.01</v>
      </c>
      <c r="L30" s="25" t="n">
        <v>0.01</v>
      </c>
      <c r="M30" s="25" t="n">
        <v>0.01</v>
      </c>
    </row>
    <row r="31">
      <c r="A31" s="15" t="inlineStr">
        <is>
          <t>순차입금</t>
        </is>
      </c>
      <c r="B31" s="2" t="inlineStr">
        <is>
          <t>net_debt</t>
        </is>
      </c>
      <c r="C31" s="2" t="inlineStr">
        <is>
          <t>억원</t>
        </is>
      </c>
      <c r="D31" s="19" t="n">
        <v>91222.09</v>
      </c>
      <c r="E31" s="19" t="n">
        <v>131667.61</v>
      </c>
      <c r="F31" s="19" t="n">
        <v>142716.07</v>
      </c>
      <c r="G31" s="19" t="n">
        <v>125284.74</v>
      </c>
      <c r="H31" s="19" t="n">
        <v>110920.8</v>
      </c>
      <c r="I31" s="20" t="n">
        <v>110920.8</v>
      </c>
      <c r="J31" s="20" t="n">
        <v>110920.8</v>
      </c>
      <c r="K31" s="20" t="n">
        <v>110920.8</v>
      </c>
      <c r="L31" s="20" t="n">
        <v>110920.8</v>
      </c>
      <c r="M31" s="20" t="n">
        <v>110920.8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'=(I6-I31)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IF(rev_actual &gt; 0, rev_actual, PREV(revenue) * (1 + rev_g))</t>
        </is>
      </c>
      <c r="E15" s="11" t="inlineStr">
        <is>
          <t>'=IF((I29&gt;0),I29,(H28*(1+I30)))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rev_actual</t>
        </is>
      </c>
      <c r="B28" s="33" t="inlineStr">
        <is>
          <t>매출 실적</t>
        </is>
      </c>
      <c r="C28" t="n">
        <v>5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rev_g</t>
        </is>
      </c>
      <c r="B29" s="33" t="inlineStr">
        <is>
          <t>매출 성장률</t>
        </is>
      </c>
      <c r="C29" t="n">
        <v>5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net_debt</t>
        </is>
      </c>
      <c r="B30" s="29" t="inlineStr">
        <is>
          <t>순차입금</t>
        </is>
      </c>
      <c r="C30" t="n">
        <v>1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d3f520bca14dc88a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27</v>
      </c>
    </row>
    <row r="8">
      <c r="A8" s="4" t="inlineStr">
        <is>
          <t>입력 노드 수</t>
        </is>
      </c>
      <c r="B8" t="n">
        <v>16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lgd_turnaround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
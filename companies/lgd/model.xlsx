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감가상각 실적</t>
        </is>
      </c>
      <c r="B6" s="2" t="inlineStr">
        <is>
          <t>dep_actual</t>
        </is>
      </c>
      <c r="C6" s="2" t="inlineStr">
        <is>
          <t>억원</t>
        </is>
      </c>
      <c r="D6" s="9" t="n">
        <v>45007.01</v>
      </c>
      <c r="E6" s="9" t="n">
        <v>45574.57</v>
      </c>
      <c r="F6" s="9" t="n">
        <v>42137.42</v>
      </c>
      <c r="G6" s="9" t="n">
        <v>51256.37</v>
      </c>
      <c r="H6" s="9" t="n">
        <v>43541.45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비용의 성격별 분류 주석.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-0.12</v>
      </c>
      <c r="J7" s="13" t="n">
        <v>-0.1</v>
      </c>
      <c r="K7" s="13" t="n">
        <v>-0.08</v>
      </c>
      <c r="L7" s="13" t="n">
        <v>-0.05</v>
      </c>
      <c r="M7" s="13" t="n">
        <v>-0.03</v>
      </c>
      <c r="N7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231467.34</v>
      </c>
      <c r="E8" s="9" t="n">
        <v>236793.71</v>
      </c>
      <c r="F8" s="9" t="n">
        <v>196272.41</v>
      </c>
      <c r="G8" s="9" t="n">
        <v>220503.06</v>
      </c>
      <c r="H8" s="9" t="n">
        <v>209389.6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0.8100000000000001</v>
      </c>
      <c r="J9" s="13" t="n">
        <v>0.8080000000000001</v>
      </c>
      <c r="K9" s="13" t="n">
        <v>0.806</v>
      </c>
      <c r="L9" s="13" t="n">
        <v>0.805</v>
      </c>
      <c r="M9" s="13" t="n">
        <v>0.804</v>
      </c>
      <c r="N9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0">
      <c r="A10" s="5" t="inlineStr">
        <is>
          <t>매출 실적</t>
        </is>
      </c>
      <c r="B10" s="2" t="inlineStr">
        <is>
          <t>rev_actual</t>
        </is>
      </c>
      <c r="C10" s="2" t="inlineStr">
        <is>
          <t>억원</t>
        </is>
      </c>
      <c r="D10" s="9" t="n">
        <v>298780.43</v>
      </c>
      <c r="E10" s="9" t="n">
        <v>261517.81</v>
      </c>
      <c r="F10" s="9" t="n">
        <v>213308.19</v>
      </c>
      <c r="G10" s="9" t="n">
        <v>266153.47</v>
      </c>
      <c r="H10" s="9" t="n">
        <v>258100.82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1" t="inlineStr">
        <is>
          <t>[객관] 요약연결재무정보.</t>
        </is>
      </c>
    </row>
    <row r="11">
      <c r="A11" s="5" t="inlineStr">
        <is>
          <t>매출 성장률</t>
        </is>
      </c>
      <c r="B11" s="2" t="inlineStr">
        <is>
          <t>rev_g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-0.01</v>
      </c>
      <c r="J11" s="13" t="n">
        <v>0.01</v>
      </c>
      <c r="K11" s="13" t="n">
        <v>0.01</v>
      </c>
      <c r="L11" s="13" t="n">
        <v>0.01</v>
      </c>
      <c r="M11" s="13" t="n">
        <v>0.01</v>
      </c>
      <c r="N11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12">
      <c r="A12" s="5" t="inlineStr">
        <is>
          <t>순차입금</t>
        </is>
      </c>
      <c r="B12" s="2" t="inlineStr">
        <is>
          <t>net_debt</t>
        </is>
      </c>
      <c r="C12" s="2" t="inlineStr">
        <is>
          <t>억원</t>
        </is>
      </c>
      <c r="D12" s="9" t="n">
        <v>91222.09</v>
      </c>
      <c r="E12" s="9" t="n">
        <v>131667.61</v>
      </c>
      <c r="F12" s="9" t="n">
        <v>142716.07</v>
      </c>
      <c r="G12" s="9" t="n">
        <v>125284.74</v>
      </c>
      <c r="H12" s="9" t="n">
        <v>110920.8</v>
      </c>
      <c r="I12" s="10" t="n">
        <v>110920.8</v>
      </c>
      <c r="J12" s="10" t="n">
        <v>110920.8</v>
      </c>
      <c r="K12" s="10" t="n">
        <v>110920.8</v>
      </c>
      <c r="L12" s="10" t="n">
        <v>110920.8</v>
      </c>
      <c r="M12" s="10" t="n">
        <v>110920.8</v>
      </c>
      <c r="N12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(D6-D20)</f>
        <v/>
      </c>
      <c r="E5" s="14">
        <f>(E6-E20)</f>
        <v/>
      </c>
      <c r="F5" s="14">
        <f>(F6-F20)</f>
        <v/>
      </c>
      <c r="G5" s="14">
        <f>(G6-G20)</f>
        <v/>
      </c>
      <c r="H5" s="14">
        <f>(H6-H20)</f>
        <v/>
      </c>
      <c r="I5" s="14">
        <f>(I6-I20)</f>
        <v/>
      </c>
      <c r="J5" s="14">
        <f>(J6-J20)</f>
        <v/>
      </c>
      <c r="K5" s="14">
        <f>(K6-K20)</f>
        <v/>
      </c>
      <c r="L5" s="14">
        <f>(L6-L20)</f>
        <v/>
      </c>
      <c r="M5" s="14">
        <f>(M6-M20)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45007.01</v>
      </c>
      <c r="E12" s="19" t="n">
        <v>45574.57</v>
      </c>
      <c r="F12" s="19" t="n">
        <v>42137.42</v>
      </c>
      <c r="G12" s="19" t="n">
        <v>51256.37</v>
      </c>
      <c r="H12" s="19" t="n">
        <v>43541.45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-0.12</v>
      </c>
      <c r="J13" s="26" t="n">
        <v>-0.1</v>
      </c>
      <c r="K13" s="26" t="n">
        <v>-0.08</v>
      </c>
      <c r="L13" s="26" t="n">
        <v>-0.05</v>
      </c>
      <c r="M13" s="26" t="n">
        <v>-0.03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231467.34</v>
      </c>
      <c r="E15" s="19" t="n">
        <v>236793.71</v>
      </c>
      <c r="F15" s="19" t="n">
        <v>196272.41</v>
      </c>
      <c r="G15" s="19" t="n">
        <v>220503.06</v>
      </c>
      <c r="H15" s="19" t="n">
        <v>209389.6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0.8100000000000001</v>
      </c>
      <c r="J16" s="26" t="n">
        <v>0.8080000000000001</v>
      </c>
      <c r="K16" s="26" t="n">
        <v>0.806</v>
      </c>
      <c r="L16" s="26" t="n">
        <v>0.805</v>
      </c>
      <c r="M16" s="26" t="n">
        <v>0.804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IF((D18&gt;0),D18,(0*(1+D19)))</f>
        <v/>
      </c>
      <c r="E17" s="16">
        <f>IF((E18&gt;0),E18,(D17*(1+E19)))</f>
        <v/>
      </c>
      <c r="F17" s="16">
        <f>IF((F18&gt;0),F18,(E17*(1+F19)))</f>
        <v/>
      </c>
      <c r="G17" s="16">
        <f>IF((G18&gt;0),G18,(F17*(1+G19)))</f>
        <v/>
      </c>
      <c r="H17" s="16">
        <f>IF((H18&gt;0),H18,(G17*(1+H19)))</f>
        <v/>
      </c>
      <c r="I17" s="17">
        <f>IF((I18&gt;0),I18,(H17*(1+I19)))</f>
        <v/>
      </c>
      <c r="J17" s="17">
        <f>IF((J18&gt;0),J18,(I17*(1+J19)))</f>
        <v/>
      </c>
      <c r="K17" s="17">
        <f>IF((K18&gt;0),K18,(J17*(1+K19)))</f>
        <v/>
      </c>
      <c r="L17" s="17">
        <f>IF((L18&gt;0),L18,(K17*(1+L19)))</f>
        <v/>
      </c>
      <c r="M17" s="17">
        <f>IF((M18&gt;0),M18,(L17*(1+M19)))</f>
        <v/>
      </c>
    </row>
    <row r="18">
      <c r="A18" s="23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19" t="n">
        <v>298780.43</v>
      </c>
      <c r="E18" s="19" t="n">
        <v>261517.81</v>
      </c>
      <c r="F18" s="19" t="n">
        <v>213308.19</v>
      </c>
      <c r="G18" s="19" t="n">
        <v>266153.47</v>
      </c>
      <c r="H18" s="19" t="n">
        <v>258100.82</v>
      </c>
      <c r="I18" s="20" t="n">
        <v>0</v>
      </c>
      <c r="J18" s="20" t="n">
        <v>0</v>
      </c>
      <c r="K18" s="20" t="n">
        <v>0</v>
      </c>
      <c r="L18" s="20" t="n">
        <v>0</v>
      </c>
      <c r="M18" s="20" t="n">
        <v>0</v>
      </c>
    </row>
    <row r="19">
      <c r="A19" s="23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-0.01</v>
      </c>
      <c r="J19" s="26" t="n">
        <v>0.01</v>
      </c>
      <c r="K19" s="26" t="n">
        <v>0.01</v>
      </c>
      <c r="L19" s="26" t="n">
        <v>0.01</v>
      </c>
      <c r="M19" s="26" t="n">
        <v>0.01</v>
      </c>
    </row>
    <row r="20">
      <c r="A20" s="1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19" t="n">
        <v>91222.09</v>
      </c>
      <c r="E20" s="19" t="n">
        <v>131667.61</v>
      </c>
      <c r="F20" s="19" t="n">
        <v>142716.07</v>
      </c>
      <c r="G20" s="19" t="n">
        <v>125284.74</v>
      </c>
      <c r="H20" s="19" t="n">
        <v>110920.8</v>
      </c>
      <c r="I20" s="20" t="n">
        <v>110920.8</v>
      </c>
      <c r="J20" s="20" t="n">
        <v>110920.8</v>
      </c>
      <c r="K20" s="20" t="n">
        <v>110920.8</v>
      </c>
      <c r="L20" s="20" t="n">
        <v>110920.8</v>
      </c>
      <c r="M20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'=(I6-I20)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IF(rev_actual &gt; 0, rev_actual, PREV(revenue) * (1 + rev_g))</t>
        </is>
      </c>
      <c r="E12" s="11" t="inlineStr">
        <is>
          <t>'=IF((I18&gt;0),I18,(H17*(1+I19)))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rev_actual</t>
        </is>
      </c>
      <c r="B17" s="32" t="inlineStr">
        <is>
          <t>매출 실적</t>
        </is>
      </c>
      <c r="C17" t="n">
        <v>5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rev_g</t>
        </is>
      </c>
      <c r="B18" s="32" t="inlineStr">
        <is>
          <t>매출 성장률</t>
        </is>
      </c>
      <c r="C18" t="n">
        <v>5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net_debt</t>
        </is>
      </c>
      <c r="B19" s="28" t="inlineStr">
        <is>
          <t>순차입금</t>
        </is>
      </c>
      <c r="C19" t="n">
        <v>1</v>
      </c>
      <c r="D19" t="inlineStr">
        <is>
          <t>input</t>
        </is>
      </c>
      <c r="E19" t="inlineStr"/>
      <c r="F19" t="n">
        <v>20</v>
      </c>
      <c r="G19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a046450d1b60700b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16</v>
      </c>
    </row>
    <row r="8">
      <c r="A8" s="4" t="inlineStr">
        <is>
          <t>입력 노드 수</t>
        </is>
      </c>
      <c r="B8" t="n">
        <v>8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
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LG디스플레이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LG디스플레이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 (턴어라운드)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3.5</v>
      </c>
      <c r="E5" s="9" t="n">
        <v>3.5</v>
      </c>
      <c r="F5" s="9" t="n">
        <v>3.5</v>
      </c>
      <c r="G5" s="9" t="n">
        <v>3.5</v>
      </c>
      <c r="H5" s="9" t="n">
        <v>3.5</v>
      </c>
      <c r="I5" s="10" t="n">
        <v>3.5</v>
      </c>
      <c r="J5" s="10" t="n">
        <v>3.5</v>
      </c>
      <c r="K5" s="10" t="n">
        <v>3.5</v>
      </c>
      <c r="L5" s="10" t="n">
        <v>3.5</v>
      </c>
      <c r="M5" s="10" t="n">
        <v>3.5</v>
      </c>
      <c r="N5" s="11" t="inlineStr">
        <is>
          <t>[주관·시나리오] 3.5배. 현재 시장이 매기는 3.27배(WISE 3.27, 본 모델 3.26 — 0.3% 차이로 교차검증)보다 소폭 높고, 대만 패널사(AUO 10.7 · 이노룩스 11.4배)보다 한참 낮다. 대만 배수는 1년 수익률 +104%·+268%가 말하듯 AI 테마로 재평가된 값이라 그대로 쓰지 않는다. 디스플레이는 유지 CAPEX가 크고 중국 경쟁이 구조적이라 사이클 중립 3~4배가 이 회사의 10년 역사적 범위다.</t>
        </is>
      </c>
    </row>
    <row r="6">
      <c r="A6" s="5" t="inlineStr">
        <is>
          <t>감가상각 실적</t>
        </is>
      </c>
      <c r="B6" s="2" t="inlineStr">
        <is>
          <t>dep_actual</t>
        </is>
      </c>
      <c r="C6" s="2" t="inlineStr">
        <is>
          <t>억원</t>
        </is>
      </c>
      <c r="D6" s="9" t="n">
        <v>45007.01</v>
      </c>
      <c r="E6" s="9" t="n">
        <v>45574.57</v>
      </c>
      <c r="F6" s="9" t="n">
        <v>42137.42</v>
      </c>
      <c r="G6" s="9" t="n">
        <v>51256.37</v>
      </c>
      <c r="H6" s="9" t="n">
        <v>43541.45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비용의 성격별 분류 주석.</t>
        </is>
      </c>
    </row>
    <row r="7">
      <c r="A7" s="5" t="inlineStr">
        <is>
          <t>감가상각 증가율</t>
        </is>
      </c>
      <c r="B7" s="2" t="inlineStr">
        <is>
          <t>dep_g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-0.12</v>
      </c>
      <c r="J7" s="13" t="n">
        <v>-0.1</v>
      </c>
      <c r="K7" s="13" t="n">
        <v>-0.08</v>
      </c>
      <c r="L7" s="13" t="n">
        <v>-0.05</v>
      </c>
      <c r="M7" s="13" t="n">
        <v>-0.03</v>
      </c>
      <c r="N7" s="11" t="inlineStr">
        <is>
          <t>[주관] CAPEX가 5.08조(2022) → 1.35조(2025)로 **4년간 73% 줄었다**. 감가상각 4.35조 대비 CAPEX 1.35조 — 신규 투자가 상각 소멸분을 채우지 못하므로 감가상각은 구조적으로 감소한다. 연 −12%에서 −3%로 체감. 이 감소가 영업이익 개선의 기계적 동력이다 (삼성전기의 역방향).</t>
        </is>
      </c>
    </row>
    <row r="8">
      <c r="A8" s="5" t="inlineStr">
        <is>
          <t>기타비용 실적</t>
        </is>
      </c>
      <c r="B8" s="2" t="inlineStr">
        <is>
          <t>other_actual</t>
        </is>
      </c>
      <c r="C8" s="2" t="inlineStr">
        <is>
          <t>억원</t>
        </is>
      </c>
      <c r="D8" s="9" t="n">
        <v>231467.34</v>
      </c>
      <c r="E8" s="9" t="n">
        <v>236793.71</v>
      </c>
      <c r="F8" s="9" t="n">
        <v>196272.41</v>
      </c>
      <c r="G8" s="9" t="n">
        <v>220503.06</v>
      </c>
      <c r="H8" s="9" t="n">
        <v>209389.6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[객관] 확정값에서 역산. 세 항목 모두 공시값이라 결과도 확정이다.</t>
        </is>
      </c>
    </row>
    <row r="9">
      <c r="A9" s="5" t="inlineStr">
        <is>
          <t>기타비용률</t>
        </is>
      </c>
      <c r="B9" s="2" t="inlineStr">
        <is>
          <t>other_ratio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0.8100000000000001</v>
      </c>
      <c r="J9" s="13" t="n">
        <v>0.8080000000000001</v>
      </c>
      <c r="K9" s="13" t="n">
        <v>0.806</v>
      </c>
      <c r="L9" s="13" t="n">
        <v>0.805</v>
      </c>
      <c r="M9" s="13" t="n">
        <v>0.804</v>
      </c>
      <c r="N9" s="11" t="inlineStr">
        <is>
          <t>[주관] 실적 77.5 → 90.5 → 92.0 → 82.8 → 81.1%. 판가 사이클에 따라 15%p 진동한다. 2025년 수준(81.1%)에서 사실상 고정하고 연 0.1~0.2%p만 개선 — OLED 믹스 개선과 중국 LCD 판가 압박이 상쇄된다고 봤다. 2021년(77.5%) 복귀는 Bull에서만 가정한다.</t>
        </is>
      </c>
    </row>
    <row r="10">
      <c r="A10" s="5" t="inlineStr">
        <is>
          <t>매출 실적</t>
        </is>
      </c>
      <c r="B10" s="2" t="inlineStr">
        <is>
          <t>rev_actual</t>
        </is>
      </c>
      <c r="C10" s="2" t="inlineStr">
        <is>
          <t>억원</t>
        </is>
      </c>
      <c r="D10" s="9" t="n">
        <v>298780.43</v>
      </c>
      <c r="E10" s="9" t="n">
        <v>261517.81</v>
      </c>
      <c r="F10" s="9" t="n">
        <v>213308.19</v>
      </c>
      <c r="G10" s="9" t="n">
        <v>266153.47</v>
      </c>
      <c r="H10" s="9" t="n">
        <v>258100.82</v>
      </c>
      <c r="I10" s="10" t="n">
        <v>0</v>
      </c>
      <c r="J10" s="10" t="n">
        <v>0</v>
      </c>
      <c r="K10" s="10" t="n">
        <v>0</v>
      </c>
      <c r="L10" s="10" t="n">
        <v>0</v>
      </c>
      <c r="M10" s="10" t="n">
        <v>0</v>
      </c>
      <c r="N10" s="11" t="inlineStr">
        <is>
          <t>[객관] 요약연결재무정보.</t>
        </is>
      </c>
    </row>
    <row r="11">
      <c r="A11" s="5" t="inlineStr">
        <is>
          <t>매출 성장률</t>
        </is>
      </c>
      <c r="B11" s="2" t="inlineStr">
        <is>
          <t>rev_g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-0.01</v>
      </c>
      <c r="J11" s="13" t="n">
        <v>0.01</v>
      </c>
      <c r="K11" s="13" t="n">
        <v>0.01</v>
      </c>
      <c r="L11" s="13" t="n">
        <v>0.01</v>
      </c>
      <c r="M11" s="13" t="n">
        <v>0.01</v>
      </c>
      <c r="N11" s="11" t="inlineStr">
        <is>
          <t>[주관] 2026년 −1% 후 연 +1%. 컨센서스 2026 EBITDA가 2025년과 사실상 같은 수준(48,059 vs 48,711억)이라 시장도 매출 성장을 보지 않는다. LCD 축소가 이어지고 OLED(Auto·IT)가 그 공백을 겨우 메우는 그림. 성장이 아니라 **수익성과 레버리지**가 이 종목의 이야기다.</t>
        </is>
      </c>
    </row>
    <row r="12">
      <c r="A12" s="5" t="inlineStr">
        <is>
          <t>순차입금</t>
        </is>
      </c>
      <c r="B12" s="2" t="inlineStr">
        <is>
          <t>net_debt</t>
        </is>
      </c>
      <c r="C12" s="2" t="inlineStr">
        <is>
          <t>억원</t>
        </is>
      </c>
      <c r="D12" s="9" t="n">
        <v>91222.09</v>
      </c>
      <c r="E12" s="9" t="n">
        <v>131667.61</v>
      </c>
      <c r="F12" s="9" t="n">
        <v>142716.07</v>
      </c>
      <c r="G12" s="9" t="n">
        <v>125284.74</v>
      </c>
      <c r="H12" s="9" t="n">
        <v>110920.8</v>
      </c>
      <c r="I12" s="10" t="n">
        <v>110920.8</v>
      </c>
      <c r="J12" s="10" t="n">
        <v>110920.8</v>
      </c>
      <c r="K12" s="10" t="n">
        <v>110920.8</v>
      </c>
      <c r="L12" s="10" t="n">
        <v>110920.8</v>
      </c>
      <c r="M12" s="10" t="n">
        <v>110920.8</v>
      </c>
      <c r="N12" s="11" t="inlineStr">
        <is>
          <t>[객관 실적 / 추정 구간 고정] 단기차입금+유동성장기+장기차입금+사채 − 현금및현금성자산 (리스부채·파생 제외). 2022년 값이 두 보고서에서 14,991,410백만원으로 정확히 일치해 체인이 검증됐다. 정점 14.27조(2023)에서 11.09조(2025)로 2년간 3.2조 줄었다 — CAPEX 축소로 FCF가 돌기 시작한 결과다. 추정 구간은 2025년 수준 고정: 실제로는 더 줄 가능성이 높아 **보수적인 쪽**이지만, 차입 상환 속도를 모델링하려면 운전자본·리스·배당 가정이 다 필요해 넣지 않았다.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LG디스플레이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(D6-D20)</f>
        <v/>
      </c>
      <c r="E5" s="14">
        <f>(E6-E20)</f>
        <v/>
      </c>
      <c r="F5" s="14">
        <f>(F6-F20)</f>
        <v/>
      </c>
      <c r="G5" s="14">
        <f>(G6-G20)</f>
        <v/>
      </c>
      <c r="H5" s="14">
        <f>(H6-H20)</f>
        <v/>
      </c>
      <c r="I5" s="14">
        <f>(I6-I20)</f>
        <v/>
      </c>
      <c r="J5" s="14">
        <f>(J6-J20)</f>
        <v/>
      </c>
      <c r="K5" s="14">
        <f>(K6-K20)</f>
        <v/>
      </c>
      <c r="L5" s="14">
        <f>(L6-L20)</f>
        <v/>
      </c>
      <c r="M5" s="14">
        <f>(M6-M20)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3.5</v>
      </c>
      <c r="E7" s="19" t="n">
        <v>3.5</v>
      </c>
      <c r="F7" s="19" t="n">
        <v>3.5</v>
      </c>
      <c r="G7" s="19" t="n">
        <v>3.5</v>
      </c>
      <c r="H7" s="19" t="n">
        <v>3.5</v>
      </c>
      <c r="I7" s="20" t="n">
        <v>3.5</v>
      </c>
      <c r="J7" s="20" t="n">
        <v>3.5</v>
      </c>
      <c r="K7" s="20" t="n">
        <v>3.5</v>
      </c>
      <c r="L7" s="20" t="n">
        <v>3.5</v>
      </c>
      <c r="M7" s="20" t="n">
        <v>3.5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(D9+D11)</f>
        <v/>
      </c>
      <c r="E8" s="16">
        <f>(E9+E11)</f>
        <v/>
      </c>
      <c r="F8" s="16">
        <f>(F9+F11)</f>
        <v/>
      </c>
      <c r="G8" s="16">
        <f>(G9+G11)</f>
        <v/>
      </c>
      <c r="H8" s="16">
        <f>(H9+H11)</f>
        <v/>
      </c>
      <c r="I8" s="17">
        <f>(I9+I11)</f>
        <v/>
      </c>
      <c r="J8" s="17">
        <f>(J9+J11)</f>
        <v/>
      </c>
      <c r="K8" s="17">
        <f>(K9+K11)</f>
        <v/>
      </c>
      <c r="L8" s="17">
        <f>(L9+L11)</f>
        <v/>
      </c>
      <c r="M8" s="17">
        <f>(M9+M11)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(D17-D10)</f>
        <v/>
      </c>
      <c r="E9" s="16">
        <f>(E17-E10)</f>
        <v/>
      </c>
      <c r="F9" s="16">
        <f>(F17-F10)</f>
        <v/>
      </c>
      <c r="G9" s="16">
        <f>(G17-G10)</f>
        <v/>
      </c>
      <c r="H9" s="16">
        <f>(H17-H10)</f>
        <v/>
      </c>
      <c r="I9" s="17">
        <f>(I17-I10)</f>
        <v/>
      </c>
      <c r="J9" s="17">
        <f>(J17-J10)</f>
        <v/>
      </c>
      <c r="K9" s="17">
        <f>(K17-K10)</f>
        <v/>
      </c>
      <c r="L9" s="17">
        <f>(L17-L10)</f>
        <v/>
      </c>
      <c r="M9" s="17">
        <f>(M17-M10)</f>
        <v/>
      </c>
    </row>
    <row r="10">
      <c r="A10" s="22" t="inlineStr">
        <is>
          <t>총비용</t>
        </is>
      </c>
      <c r="B10" s="2" t="inlineStr">
        <is>
          <t>total_cost</t>
        </is>
      </c>
      <c r="C10" s="2" t="inlineStr">
        <is>
          <t>억원</t>
        </is>
      </c>
      <c r="D10" s="16">
        <f>(D11+D14)</f>
        <v/>
      </c>
      <c r="E10" s="16">
        <f>(E11+E14)</f>
        <v/>
      </c>
      <c r="F10" s="16">
        <f>(F11+F14)</f>
        <v/>
      </c>
      <c r="G10" s="16">
        <f>(G11+G14)</f>
        <v/>
      </c>
      <c r="H10" s="16">
        <f>(H11+H14)</f>
        <v/>
      </c>
      <c r="I10" s="17">
        <f>(I11+I14)</f>
        <v/>
      </c>
      <c r="J10" s="17">
        <f>(J11+J14)</f>
        <v/>
      </c>
      <c r="K10" s="17">
        <f>(K11+K14)</f>
        <v/>
      </c>
      <c r="L10" s="17">
        <f>(L11+L14)</f>
        <v/>
      </c>
      <c r="M10" s="17">
        <f>(M11+M14)</f>
        <v/>
      </c>
    </row>
    <row r="11">
      <c r="A11" s="23" t="inlineStr">
        <is>
          <t>감가상각비</t>
        </is>
      </c>
      <c r="B11" s="2" t="inlineStr">
        <is>
          <t>dep_total</t>
        </is>
      </c>
      <c r="C11" s="2" t="inlineStr">
        <is>
          <t>억원</t>
        </is>
      </c>
      <c r="D11" s="16">
        <f>IF((D12&gt;0),D12,(0*(1+D13)))</f>
        <v/>
      </c>
      <c r="E11" s="16">
        <f>IF((E12&gt;0),E12,(D11*(1+E13)))</f>
        <v/>
      </c>
      <c r="F11" s="16">
        <f>IF((F12&gt;0),F12,(E11*(1+F13)))</f>
        <v/>
      </c>
      <c r="G11" s="16">
        <f>IF((G12&gt;0),G12,(F11*(1+G13)))</f>
        <v/>
      </c>
      <c r="H11" s="16">
        <f>IF((H12&gt;0),H12,(G11*(1+H13)))</f>
        <v/>
      </c>
      <c r="I11" s="17">
        <f>IF((I12&gt;0),I12,(H11*(1+I13)))</f>
        <v/>
      </c>
      <c r="J11" s="17">
        <f>IF((J12&gt;0),J12,(I11*(1+J13)))</f>
        <v/>
      </c>
      <c r="K11" s="17">
        <f>IF((K12&gt;0),K12,(J11*(1+K13)))</f>
        <v/>
      </c>
      <c r="L11" s="17">
        <f>IF((L12&gt;0),L12,(K11*(1+L13)))</f>
        <v/>
      </c>
      <c r="M11" s="17">
        <f>IF((M12&gt;0),M12,(L11*(1+M13)))</f>
        <v/>
      </c>
    </row>
    <row r="12">
      <c r="A12" s="24" t="inlineStr">
        <is>
          <t>감가상각 실적</t>
        </is>
      </c>
      <c r="B12" s="2" t="inlineStr">
        <is>
          <t>dep_actual</t>
        </is>
      </c>
      <c r="C12" s="2" t="inlineStr">
        <is>
          <t>억원</t>
        </is>
      </c>
      <c r="D12" s="19" t="n">
        <v>45007.01</v>
      </c>
      <c r="E12" s="19" t="n">
        <v>45574.57</v>
      </c>
      <c r="F12" s="19" t="n">
        <v>42137.42</v>
      </c>
      <c r="G12" s="19" t="n">
        <v>51256.37</v>
      </c>
      <c r="H12" s="19" t="n">
        <v>43541.45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4" t="inlineStr">
        <is>
          <t>감가상각 증가율</t>
        </is>
      </c>
      <c r="B13" s="2" t="inlineStr">
        <is>
          <t>dep_g</t>
        </is>
      </c>
      <c r="C13" s="2" t="inlineStr">
        <is>
          <t>%</t>
        </is>
      </c>
      <c r="D13" s="25" t="n">
        <v>0</v>
      </c>
      <c r="E13" s="25" t="n">
        <v>0</v>
      </c>
      <c r="F13" s="25" t="n">
        <v>0</v>
      </c>
      <c r="G13" s="25" t="n">
        <v>0</v>
      </c>
      <c r="H13" s="25" t="n">
        <v>0</v>
      </c>
      <c r="I13" s="26" t="n">
        <v>-0.12</v>
      </c>
      <c r="J13" s="26" t="n">
        <v>-0.1</v>
      </c>
      <c r="K13" s="26" t="n">
        <v>-0.08</v>
      </c>
      <c r="L13" s="26" t="n">
        <v>-0.05</v>
      </c>
      <c r="M13" s="26" t="n">
        <v>-0.03</v>
      </c>
    </row>
    <row r="14">
      <c r="A14" s="23" t="inlineStr">
        <is>
          <t>기타비용</t>
        </is>
      </c>
      <c r="B14" s="2" t="inlineStr">
        <is>
          <t>other_cost</t>
        </is>
      </c>
      <c r="C14" s="2" t="inlineStr">
        <is>
          <t>억원</t>
        </is>
      </c>
      <c r="D14" s="16">
        <f>IF((D15&gt;0),D15,(D17*D16))</f>
        <v/>
      </c>
      <c r="E14" s="16">
        <f>IF((E15&gt;0),E15,(E17*E16))</f>
        <v/>
      </c>
      <c r="F14" s="16">
        <f>IF((F15&gt;0),F15,(F17*F16))</f>
        <v/>
      </c>
      <c r="G14" s="16">
        <f>IF((G15&gt;0),G15,(G17*G16))</f>
        <v/>
      </c>
      <c r="H14" s="16">
        <f>IF((H15&gt;0),H15,(H17*H16))</f>
        <v/>
      </c>
      <c r="I14" s="17">
        <f>IF((I15&gt;0),I15,(I17*I16))</f>
        <v/>
      </c>
      <c r="J14" s="17">
        <f>IF((J15&gt;0),J15,(J17*J16))</f>
        <v/>
      </c>
      <c r="K14" s="17">
        <f>IF((K15&gt;0),K15,(K17*K16))</f>
        <v/>
      </c>
      <c r="L14" s="17">
        <f>IF((L15&gt;0),L15,(L17*L16))</f>
        <v/>
      </c>
      <c r="M14" s="17">
        <f>IF((M15&gt;0),M15,(M17*M16))</f>
        <v/>
      </c>
    </row>
    <row r="15">
      <c r="A15" s="24" t="inlineStr">
        <is>
          <t>기타비용 실적</t>
        </is>
      </c>
      <c r="B15" s="2" t="inlineStr">
        <is>
          <t>other_actual</t>
        </is>
      </c>
      <c r="C15" s="2" t="inlineStr">
        <is>
          <t>억원</t>
        </is>
      </c>
      <c r="D15" s="19" t="n">
        <v>231467.34</v>
      </c>
      <c r="E15" s="19" t="n">
        <v>236793.71</v>
      </c>
      <c r="F15" s="19" t="n">
        <v>196272.41</v>
      </c>
      <c r="G15" s="19" t="n">
        <v>220503.06</v>
      </c>
      <c r="H15" s="19" t="n">
        <v>209389.6</v>
      </c>
      <c r="I15" s="20" t="n">
        <v>0</v>
      </c>
      <c r="J15" s="20" t="n">
        <v>0</v>
      </c>
      <c r="K15" s="20" t="n">
        <v>0</v>
      </c>
      <c r="L15" s="20" t="n">
        <v>0</v>
      </c>
      <c r="M15" s="20" t="n">
        <v>0</v>
      </c>
    </row>
    <row r="16">
      <c r="A16" s="24" t="inlineStr">
        <is>
          <t>기타비용률</t>
        </is>
      </c>
      <c r="B16" s="2" t="inlineStr">
        <is>
          <t>other_ratio</t>
        </is>
      </c>
      <c r="C16" s="2" t="inlineStr">
        <is>
          <t>%</t>
        </is>
      </c>
      <c r="D16" s="25" t="n">
        <v>0</v>
      </c>
      <c r="E16" s="25" t="n">
        <v>0</v>
      </c>
      <c r="F16" s="25" t="n">
        <v>0</v>
      </c>
      <c r="G16" s="25" t="n">
        <v>0</v>
      </c>
      <c r="H16" s="25" t="n">
        <v>0</v>
      </c>
      <c r="I16" s="26" t="n">
        <v>0.8100000000000001</v>
      </c>
      <c r="J16" s="26" t="n">
        <v>0.8080000000000001</v>
      </c>
      <c r="K16" s="26" t="n">
        <v>0.806</v>
      </c>
      <c r="L16" s="26" t="n">
        <v>0.805</v>
      </c>
      <c r="M16" s="26" t="n">
        <v>0.804</v>
      </c>
    </row>
    <row r="17">
      <c r="A17" s="22" t="inlineStr">
        <is>
          <t>매출</t>
        </is>
      </c>
      <c r="B17" s="2" t="inlineStr">
        <is>
          <t>revenue</t>
        </is>
      </c>
      <c r="C17" s="2" t="inlineStr">
        <is>
          <t>억원</t>
        </is>
      </c>
      <c r="D17" s="16">
        <f>IF((D18&gt;0),D18,(0*(1+D19)))</f>
        <v/>
      </c>
      <c r="E17" s="16">
        <f>IF((E18&gt;0),E18,(D17*(1+E19)))</f>
        <v/>
      </c>
      <c r="F17" s="16">
        <f>IF((F18&gt;0),F18,(E17*(1+F19)))</f>
        <v/>
      </c>
      <c r="G17" s="16">
        <f>IF((G18&gt;0),G18,(F17*(1+G19)))</f>
        <v/>
      </c>
      <c r="H17" s="16">
        <f>IF((H18&gt;0),H18,(G17*(1+H19)))</f>
        <v/>
      </c>
      <c r="I17" s="17">
        <f>IF((I18&gt;0),I18,(H17*(1+I19)))</f>
        <v/>
      </c>
      <c r="J17" s="17">
        <f>IF((J18&gt;0),J18,(I17*(1+J19)))</f>
        <v/>
      </c>
      <c r="K17" s="17">
        <f>IF((K18&gt;0),K18,(J17*(1+K19)))</f>
        <v/>
      </c>
      <c r="L17" s="17">
        <f>IF((L18&gt;0),L18,(K17*(1+L19)))</f>
        <v/>
      </c>
      <c r="M17" s="17">
        <f>IF((M18&gt;0),M18,(L17*(1+M19)))</f>
        <v/>
      </c>
    </row>
    <row r="18">
      <c r="A18" s="23" t="inlineStr">
        <is>
          <t>매출 실적</t>
        </is>
      </c>
      <c r="B18" s="2" t="inlineStr">
        <is>
          <t>rev_actual</t>
        </is>
      </c>
      <c r="C18" s="2" t="inlineStr">
        <is>
          <t>억원</t>
        </is>
      </c>
      <c r="D18" s="19" t="n">
        <v>298780.43</v>
      </c>
      <c r="E18" s="19" t="n">
        <v>261517.81</v>
      </c>
      <c r="F18" s="19" t="n">
        <v>213308.19</v>
      </c>
      <c r="G18" s="19" t="n">
        <v>266153.47</v>
      </c>
      <c r="H18" s="19" t="n">
        <v>258100.82</v>
      </c>
      <c r="I18" s="20" t="n">
        <v>0</v>
      </c>
      <c r="J18" s="20" t="n">
        <v>0</v>
      </c>
      <c r="K18" s="20" t="n">
        <v>0</v>
      </c>
      <c r="L18" s="20" t="n">
        <v>0</v>
      </c>
      <c r="M18" s="20" t="n">
        <v>0</v>
      </c>
    </row>
    <row r="19">
      <c r="A19" s="23" t="inlineStr">
        <is>
          <t>매출 성장률</t>
        </is>
      </c>
      <c r="B19" s="2" t="inlineStr">
        <is>
          <t>rev_g</t>
        </is>
      </c>
      <c r="C19" s="2" t="inlineStr">
        <is>
          <t>%</t>
        </is>
      </c>
      <c r="D19" s="25" t="n">
        <v>0</v>
      </c>
      <c r="E19" s="25" t="n">
        <v>0</v>
      </c>
      <c r="F19" s="25" t="n">
        <v>0</v>
      </c>
      <c r="G19" s="25" t="n">
        <v>0</v>
      </c>
      <c r="H19" s="25" t="n">
        <v>0</v>
      </c>
      <c r="I19" s="26" t="n">
        <v>-0.01</v>
      </c>
      <c r="J19" s="26" t="n">
        <v>0.01</v>
      </c>
      <c r="K19" s="26" t="n">
        <v>0.01</v>
      </c>
      <c r="L19" s="26" t="n">
        <v>0.01</v>
      </c>
      <c r="M19" s="26" t="n">
        <v>0.01</v>
      </c>
    </row>
    <row r="20">
      <c r="A20" s="15" t="inlineStr">
        <is>
          <t>순차입금</t>
        </is>
      </c>
      <c r="B20" s="2" t="inlineStr">
        <is>
          <t>net_debt</t>
        </is>
      </c>
      <c r="C20" s="2" t="inlineStr">
        <is>
          <t>억원</t>
        </is>
      </c>
      <c r="D20" s="19" t="n">
        <v>91222.09</v>
      </c>
      <c r="E20" s="19" t="n">
        <v>131667.61</v>
      </c>
      <c r="F20" s="19" t="n">
        <v>142716.07</v>
      </c>
      <c r="G20" s="19" t="n">
        <v>125284.74</v>
      </c>
      <c r="H20" s="19" t="n">
        <v>110920.8</v>
      </c>
      <c r="I20" s="20" t="n">
        <v>110920.8</v>
      </c>
      <c r="J20" s="20" t="n">
        <v>110920.8</v>
      </c>
      <c r="K20" s="20" t="n">
        <v>110920.8</v>
      </c>
      <c r="L20" s="20" t="n">
        <v>110920.8</v>
      </c>
      <c r="M20" s="20" t="n">
        <v>110920.8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7" t="inlineStr">
        <is>
          <t>ev_value - net_debt</t>
        </is>
      </c>
      <c r="E5" s="11" t="inlineStr">
        <is>
          <t>'=(I6-I20)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7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7" t="inlineStr">
        <is>
          <t>op_profit + dep_total</t>
        </is>
      </c>
      <c r="E7" s="11" t="inlineStr">
        <is>
          <t>'=(I9+I11)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7" t="inlineStr">
        <is>
          <t>revenue - total_cost</t>
        </is>
      </c>
      <c r="E8" s="11" t="inlineStr">
        <is>
          <t>'=(I17-I10)</t>
        </is>
      </c>
    </row>
    <row r="9">
      <c r="A9" s="2" t="inlineStr">
        <is>
          <t>total_cost</t>
        </is>
      </c>
      <c r="B9" s="5" t="inlineStr">
        <is>
          <t>총비용</t>
        </is>
      </c>
      <c r="C9" s="2" t="n">
        <v>10</v>
      </c>
      <c r="D9" s="27" t="inlineStr">
        <is>
          <t>dep_total + other_cost</t>
        </is>
      </c>
      <c r="E9" s="11" t="inlineStr">
        <is>
          <t>'=(I11+I14)</t>
        </is>
      </c>
    </row>
    <row r="10">
      <c r="A10" s="2" t="inlineStr">
        <is>
          <t>dep_total</t>
        </is>
      </c>
      <c r="B10" s="5" t="inlineStr">
        <is>
          <t>감가상각비</t>
        </is>
      </c>
      <c r="C10" s="2" t="n">
        <v>11</v>
      </c>
      <c r="D10" s="27" t="inlineStr">
        <is>
          <t>IF(dep_actual &gt; 0, dep_actual, PREV(dep_total) * (1 + dep_g))</t>
        </is>
      </c>
      <c r="E10" s="11" t="inlineStr">
        <is>
          <t>'=IF((I12&gt;0),I12,(H11*(1+I13)))</t>
        </is>
      </c>
    </row>
    <row r="11">
      <c r="A11" s="2" t="inlineStr">
        <is>
          <t>other_cost</t>
        </is>
      </c>
      <c r="B11" s="5" t="inlineStr">
        <is>
          <t>기타비용</t>
        </is>
      </c>
      <c r="C11" s="2" t="n">
        <v>14</v>
      </c>
      <c r="D11" s="27" t="inlineStr">
        <is>
          <t>IF(other_actual &gt; 0, other_actual, revenue * other_ratio)</t>
        </is>
      </c>
      <c r="E11" s="11" t="inlineStr">
        <is>
          <t>'=IF((I15&gt;0),I15,(I17*I16))</t>
        </is>
      </c>
    </row>
    <row r="12">
      <c r="A12" s="2" t="inlineStr">
        <is>
          <t>revenue</t>
        </is>
      </c>
      <c r="B12" s="5" t="inlineStr">
        <is>
          <t>매출</t>
        </is>
      </c>
      <c r="C12" s="2" t="n">
        <v>17</v>
      </c>
      <c r="D12" s="27" t="inlineStr">
        <is>
          <t>IF(rev_actual &gt; 0, rev_actual, PREV(revenue) * (1 + rev_g))</t>
        </is>
      </c>
      <c r="E12" s="11" t="inlineStr">
        <is>
          <t>'=IF((I18&gt;0),I18,(H17*(1+I19)))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8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29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29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0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total_cost</t>
        </is>
      </c>
      <c r="B9" s="31" t="inlineStr">
        <is>
          <t>총비용</t>
        </is>
      </c>
      <c r="C9" t="n">
        <v>4</v>
      </c>
      <c r="D9" t="inlineStr">
        <is>
          <t>computed</t>
        </is>
      </c>
      <c r="E9" t="inlineStr">
        <is>
          <t>Y</t>
        </is>
      </c>
      <c r="F9" t="n">
        <v>10</v>
      </c>
      <c r="G9" t="inlineStr">
        <is>
          <t>억원</t>
        </is>
      </c>
    </row>
    <row r="10">
      <c r="A10" s="2" t="inlineStr">
        <is>
          <t>dep_total</t>
        </is>
      </c>
      <c r="B10" s="32" t="inlineStr">
        <is>
          <t>감가상각비</t>
        </is>
      </c>
      <c r="C10" t="n">
        <v>5</v>
      </c>
      <c r="D10" t="inlineStr">
        <is>
          <t>computed</t>
        </is>
      </c>
      <c r="E10" t="inlineStr"/>
      <c r="F10" t="n">
        <v>11</v>
      </c>
      <c r="G10" t="inlineStr">
        <is>
          <t>억원</t>
        </is>
      </c>
    </row>
    <row r="11">
      <c r="A11" s="2" t="inlineStr">
        <is>
          <t>dep_actual</t>
        </is>
      </c>
      <c r="B11" s="33" t="inlineStr">
        <is>
          <t>감가상각 실적</t>
        </is>
      </c>
      <c r="C11" t="n">
        <v>6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dep_g</t>
        </is>
      </c>
      <c r="B12" s="33" t="inlineStr">
        <is>
          <t>감가상각 증가율</t>
        </is>
      </c>
      <c r="C12" t="n">
        <v>6</v>
      </c>
      <c r="D12" t="inlineStr">
        <is>
          <t>input</t>
        </is>
      </c>
      <c r="E12" t="inlineStr"/>
      <c r="F12" t="n">
        <v>13</v>
      </c>
      <c r="G12" t="inlineStr">
        <is>
          <t>%</t>
        </is>
      </c>
    </row>
    <row r="13">
      <c r="A13" s="2" t="inlineStr">
        <is>
          <t>other_cost</t>
        </is>
      </c>
      <c r="B13" s="32" t="inlineStr">
        <is>
          <t>기타비용</t>
        </is>
      </c>
      <c r="C13" t="n">
        <v>5</v>
      </c>
      <c r="D13" t="inlineStr">
        <is>
          <t>computed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other_actual</t>
        </is>
      </c>
      <c r="B14" s="33" t="inlineStr">
        <is>
          <t>기타비용 실적</t>
        </is>
      </c>
      <c r="C14" t="n">
        <v>6</v>
      </c>
      <c r="D14" t="inlineStr">
        <is>
          <t>input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other_ratio</t>
        </is>
      </c>
      <c r="B15" s="33" t="inlineStr">
        <is>
          <t>기타비용률</t>
        </is>
      </c>
      <c r="C15" t="n">
        <v>6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revenue</t>
        </is>
      </c>
      <c r="B16" s="31" t="inlineStr">
        <is>
          <t>매출</t>
        </is>
      </c>
      <c r="C16" t="n">
        <v>4</v>
      </c>
      <c r="D16" t="inlineStr">
        <is>
          <t>computed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rev_actual</t>
        </is>
      </c>
      <c r="B17" s="32" t="inlineStr">
        <is>
          <t>매출 실적</t>
        </is>
      </c>
      <c r="C17" t="n">
        <v>5</v>
      </c>
      <c r="D17" t="inlineStr">
        <is>
          <t>input</t>
        </is>
      </c>
      <c r="E17" t="inlineStr"/>
      <c r="F17" t="n">
        <v>18</v>
      </c>
      <c r="G17" t="inlineStr">
        <is>
          <t>억원</t>
        </is>
      </c>
    </row>
    <row r="18">
      <c r="A18" s="2" t="inlineStr">
        <is>
          <t>rev_g</t>
        </is>
      </c>
      <c r="B18" s="32" t="inlineStr">
        <is>
          <t>매출 성장률</t>
        </is>
      </c>
      <c r="C18" t="n">
        <v>5</v>
      </c>
      <c r="D18" t="inlineStr">
        <is>
          <t>input</t>
        </is>
      </c>
      <c r="E18" t="inlineStr"/>
      <c r="F18" t="n">
        <v>19</v>
      </c>
      <c r="G18" t="inlineStr">
        <is>
          <t>%</t>
        </is>
      </c>
    </row>
    <row r="19">
      <c r="A19" s="2" t="inlineStr">
        <is>
          <t>net_debt</t>
        </is>
      </c>
      <c r="B19" s="28" t="inlineStr">
        <is>
          <t>순차입금</t>
        </is>
      </c>
      <c r="C19" t="n">
        <v>1</v>
      </c>
      <c r="D19" t="inlineStr">
        <is>
          <t>input</t>
        </is>
      </c>
      <c r="E19" t="inlineStr"/>
      <c r="F19" t="n">
        <v>20</v>
      </c>
      <c r="G19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4">
        <f>ROUND(Model!D10-(Model!D11+Model!D14),6)</f>
        <v/>
      </c>
      <c r="E5" s="34">
        <f>ROUND(Model!E10-(Model!E11+Model!E14),6)</f>
        <v/>
      </c>
      <c r="F5" s="34">
        <f>ROUND(Model!F10-(Model!F11+Model!F14),6)</f>
        <v/>
      </c>
      <c r="G5" s="34">
        <f>ROUND(Model!G10-(Model!G11+Model!G14),6)</f>
        <v/>
      </c>
      <c r="H5" s="34">
        <f>ROUND(Model!H10-(Model!H11+Model!H14),6)</f>
        <v/>
      </c>
      <c r="I5" s="34">
        <f>ROUND(Model!I10-(Model!I11+Model!I14),6)</f>
        <v/>
      </c>
      <c r="J5" s="34">
        <f>ROUND(Model!J10-(Model!J11+Model!J14),6)</f>
        <v/>
      </c>
      <c r="K5" s="34">
        <f>ROUND(Model!K10-(Model!K11+Model!K14),6)</f>
        <v/>
      </c>
      <c r="L5" s="34">
        <f>ROUND(Model!L10-(Model!L11+Model!L14),6)</f>
        <v/>
      </c>
      <c r="M5" s="34">
        <f>ROUND(Model!M10-(Model!M11+Model!M14),6)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19839da34dfc3fcb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16</v>
      </c>
    </row>
    <row r="8">
      <c r="A8" s="4" t="inlineStr">
        <is>
          <t>입력 노드 수</t>
        </is>
      </c>
      <c r="B8" t="n">
        <v>8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lgd_turnaround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
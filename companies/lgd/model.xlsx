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trol" sheetId="2" state="visible" r:id="rId2"/>
    <sheet name="Assumptions" sheetId="3" state="visible" r:id="rId3"/>
    <sheet name="Model" sheetId="4" state="visible" r:id="rId4"/>
    <sheet name="Formula Audit" sheetId="5" state="visible" r:id="rId5"/>
    <sheet name="Structure" sheetId="6" state="visible" r:id="rId6"/>
    <sheet name="Check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-* #,##0_-;_-* &quot;-&quot;_-;_-@_-"/>
    <numFmt numFmtId="165" formatCode="0.0%"/>
    <numFmt numFmtId="166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E2185"/>
      <sz val="13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1F4E9C"/>
      <sz val="10"/>
    </font>
  </fonts>
  <fills count="6">
    <fill>
      <patternFill/>
    </fill>
    <fill>
      <patternFill patternType="gray125"/>
    </fill>
    <fill>
      <patternFill patternType="solid">
        <fgColor rgb="001E2185"/>
      </patternFill>
    </fill>
    <fill>
      <patternFill patternType="solid">
        <fgColor rgb="00EFEFF2"/>
      </patternFill>
    </fill>
    <fill>
      <patternFill patternType="solid">
        <fgColor rgb="00EDF3FF"/>
      </patternFill>
    </fill>
    <fill>
      <patternFill patternType="solid">
        <fgColor rgb="00DFE8FF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6" fillId="3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vertical="top" wrapText="1"/>
    </xf>
    <xf numFmtId="165" fontId="6" fillId="3" borderId="0" pivotButton="0" quotePrefix="0" xfId="0"/>
    <xf numFmtId="165" fontId="6" fillId="0" borderId="0" pivotButton="0" quotePrefix="0" xfId="0"/>
    <xf numFmtId="164" fontId="5" fillId="5" borderId="1" pivotButton="0" quotePrefix="0" xfId="0"/>
    <xf numFmtId="0" fontId="4" fillId="0" borderId="0" applyAlignment="1" pivotButton="0" quotePrefix="0" xfId="0">
      <alignment indent="1"/>
    </xf>
    <xf numFmtId="164" fontId="5" fillId="3" borderId="1" pivotButton="0" quotePrefix="0" xfId="0"/>
    <xf numFmtId="164" fontId="5" fillId="0" borderId="1" pivotButton="0" quotePrefix="0" xfId="0"/>
    <xf numFmtId="0" fontId="5" fillId="0" borderId="0" applyAlignment="1" pivotButton="0" quotePrefix="0" xfId="0">
      <alignment indent="2"/>
    </xf>
    <xf numFmtId="164" fontId="6" fillId="3" borderId="1" pivotButton="0" quotePrefix="0" xfId="0"/>
    <xf numFmtId="164" fontId="6" fillId="0" borderId="1" pivotButton="0" quotePrefix="0" xfId="0"/>
    <xf numFmtId="0" fontId="5" fillId="0" borderId="0" applyAlignment="1" pivotButton="0" quotePrefix="0" xfId="0">
      <alignment indent="3"/>
    </xf>
    <xf numFmtId="0" fontId="5" fillId="0" borderId="0" applyAlignment="1" pivotButton="0" quotePrefix="0" xfId="0">
      <alignment indent="4"/>
    </xf>
    <xf numFmtId="0" fontId="5" fillId="0" borderId="0" applyAlignment="1" pivotButton="0" quotePrefix="0" xfId="0">
      <alignment indent="5"/>
    </xf>
    <xf numFmtId="165" fontId="6" fillId="3" borderId="1" pivotButton="0" quotePrefix="0" xfId="0"/>
    <xf numFmtId="165" fontId="6" fillId="0" borderId="1" pivotButton="0" quotePrefix="0" xfId="0"/>
    <xf numFmtId="0" fontId="5" fillId="0" borderId="0" applyAlignment="1" pivotButton="0" quotePrefix="0" xfId="0">
      <alignment indent="6"/>
    </xf>
    <xf numFmtId="0" fontId="5" fillId="0" borderId="0" applyAlignment="1" pivotButton="0" quotePrefix="0" xfId="0">
      <alignment indent="7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0" fontId="0" fillId="0" borderId="0" applyAlignment="1" pivotButton="0" quotePrefix="0" xfId="0">
      <alignment indent="7"/>
    </xf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LG디스플레이 투자심사 모델</t>
        </is>
      </c>
    </row>
    <row r="2">
      <c r="A2" s="2" t="inlineStr">
        <is>
          <t>tools/build_excel.py가 model.html에서 생성. 직접 고치지 말 것 — 다음 빌드에 덮인다.</t>
        </is>
      </c>
    </row>
    <row r="4">
      <c r="A4" s="3" t="inlineStr">
        <is>
          <t>시트</t>
        </is>
      </c>
      <c r="B4" s="3" t="inlineStr">
        <is>
          <t>내용</t>
        </is>
      </c>
    </row>
    <row r="5">
      <c r="A5" s="4" t="inlineStr">
        <is>
          <t>Index</t>
        </is>
      </c>
      <c r="B5" s="5" t="inlineStr">
        <is>
          <t>이 시트</t>
        </is>
      </c>
    </row>
    <row r="6">
      <c r="A6" s="4" t="inlineStr">
        <is>
          <t>Control</t>
        </is>
      </c>
      <c r="B6" s="5" t="inlineStr">
        <is>
          <t>모델 개요·전역 설정</t>
        </is>
      </c>
    </row>
    <row r="7">
      <c r="A7" s="4" t="inlineStr">
        <is>
          <t>Assumptions</t>
        </is>
      </c>
      <c r="B7" s="5" t="inlineStr">
        <is>
          <t>가정변수 일람과 근거</t>
        </is>
      </c>
    </row>
    <row r="8">
      <c r="A8" s="4" t="inlineStr">
        <is>
          <t>Model</t>
        </is>
      </c>
      <c r="B8" s="5" t="inlineStr">
        <is>
          <t>계정 트리 × 연도. 수식이 살아있는 본체</t>
        </is>
      </c>
    </row>
    <row r="9">
      <c r="A9" s="4" t="inlineStr">
        <is>
          <t>Formula Audit</t>
        </is>
      </c>
      <c r="B9" s="5" t="inlineStr">
        <is>
          <t>모델 원식 ↔ 셀 수식 대조</t>
        </is>
      </c>
    </row>
    <row r="10">
      <c r="A10" s="4" t="inlineStr">
        <is>
          <t>Structure</t>
        </is>
      </c>
      <c r="B10" s="5" t="inlineStr">
        <is>
          <t>트리 구조·깊이·행 배치</t>
        </is>
      </c>
    </row>
    <row r="11">
      <c r="A11" s="4" t="inlineStr">
        <is>
          <t>Checks</t>
        </is>
      </c>
      <c r="B11" s="5" t="inlineStr">
        <is>
          <t>부모 = 자식 합 정합 검증</t>
        </is>
      </c>
    </row>
    <row r="12">
      <c r="A12" s="4" t="inlineStr">
        <is>
          <t>Metadata</t>
        </is>
      </c>
      <c r="B12" s="5" t="inlineStr">
        <is>
          <t>빌드 정보</t>
        </is>
      </c>
    </row>
    <row r="14">
      <c r="A14" s="4" t="inlineStr">
        <is>
          <t>셀 색 규약</t>
        </is>
      </c>
    </row>
    <row r="15">
      <c r="A15" s="2" t="inlineStr">
        <is>
          <t>파랑 글자</t>
        </is>
      </c>
      <c r="B15" s="2" t="inlineStr">
        <is>
          <t>하드코딩 입력값 — 여기만 고친다</t>
        </is>
      </c>
    </row>
    <row r="16">
      <c r="A16" s="2" t="inlineStr">
        <is>
          <t>검정 글자</t>
        </is>
      </c>
      <c r="B16" s="2" t="inlineStr">
        <is>
          <t>수식</t>
        </is>
      </c>
    </row>
    <row r="17">
      <c r="A17" s="2" t="inlineStr">
        <is>
          <t>회색 배경</t>
        </is>
      </c>
      <c r="B17" s="2" t="inlineStr">
        <is>
          <t>실적(Historical) 구간 — 공시 확정값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컨트롤</t>
        </is>
      </c>
    </row>
    <row r="2">
      <c r="A2" s="2" t="inlineStr">
        <is>
          <t>가정을 바꾸려면 Assumptions 시트가 아니라 Model 시트의 파랑 셀을 고친다. Model이 계산의 단일 출처다.</t>
        </is>
      </c>
    </row>
    <row r="4">
      <c r="A4" s="4" t="inlineStr">
        <is>
          <t>모델</t>
        </is>
      </c>
      <c r="B4" t="inlineStr">
        <is>
          <t>LG디스플레이 투자심사 모델</t>
        </is>
      </c>
    </row>
    <row r="5">
      <c r="A5" s="4" t="inlineStr">
        <is>
          <t>통화 단위</t>
        </is>
      </c>
      <c r="B5" t="inlineStr">
        <is>
          <t>억원</t>
        </is>
      </c>
    </row>
    <row r="6">
      <c r="A6" s="4" t="inlineStr">
        <is>
          <t>범위</t>
        </is>
      </c>
      <c r="B6" t="inlineStr">
        <is>
          <t>매출 → 영업이익 → 밸류에이션 (턴어라운드)</t>
        </is>
      </c>
    </row>
    <row r="7">
      <c r="A7" s="4" t="inlineStr">
        <is>
          <t>실적 연도 수 (HIST_N)</t>
        </is>
      </c>
      <c r="B7" t="n">
        <v>5</v>
      </c>
    </row>
    <row r="8">
      <c r="A8" s="4" t="inlineStr">
        <is>
          <t>추정 연도 수</t>
        </is>
      </c>
      <c r="B8" t="n">
        <v>5</v>
      </c>
    </row>
    <row r="9">
      <c r="A9" s="4" t="inlineStr">
        <is>
          <t>첫 연도</t>
        </is>
      </c>
      <c r="B9" t="inlineStr">
        <is>
          <t>2021</t>
        </is>
      </c>
    </row>
    <row r="10">
      <c r="A10" s="4" t="inlineStr">
        <is>
          <t>마지막 연도</t>
        </is>
      </c>
      <c r="B10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90" customWidth="1" min="14" max="14"/>
  </cols>
  <sheetData>
    <row r="1">
      <c r="A1" s="1" t="inlineStr">
        <is>
          <t>가정변수 일람</t>
        </is>
      </c>
    </row>
    <row r="2">
      <c r="A2" s="2" t="inlineStr">
        <is>
          <t>파랑 = 하드코딩 입력값. 근거 열의 대괄호 태그가 객관/주관 구분이다.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  <c r="N4" s="3" t="inlineStr">
        <is>
          <t>근거</t>
        </is>
      </c>
    </row>
    <row r="5">
      <c r="A5" s="5" t="inlineStr">
        <is>
          <t>목표 EV/EBITDA</t>
        </is>
      </c>
      <c r="B5" s="2" t="inlineStr">
        <is>
          <t>target_ev_ebitda</t>
        </is>
      </c>
      <c r="C5" s="2" t="inlineStr">
        <is>
          <t>배</t>
        </is>
      </c>
      <c r="D5" s="9" t="n">
        <v>3.5</v>
      </c>
      <c r="E5" s="9" t="n">
        <v>3.5</v>
      </c>
      <c r="F5" s="9" t="n">
        <v>3.5</v>
      </c>
      <c r="G5" s="9" t="n">
        <v>3.5</v>
      </c>
      <c r="H5" s="9" t="n">
        <v>3.5</v>
      </c>
      <c r="I5" s="10" t="n">
        <v>3.5</v>
      </c>
      <c r="J5" s="10" t="n">
        <v>3.5</v>
      </c>
      <c r="K5" s="10" t="n">
        <v>3.5</v>
      </c>
      <c r="L5" s="10" t="n">
        <v>3.5</v>
      </c>
      <c r="M5" s="10" t="n">
        <v>3.5</v>
      </c>
      <c r="N5" s="11" t="inlineStr">
        <is>
          <t>[주관·시나리오] 3.5배. 현재 시장이 매기는 3.27배(WISE 3.27, 본 모델 3.26 — 0.3% 차이로 교차검증)보다 소폭 높고, 대만 패널사(AUO 10.7 · 이노룩스 11.4배)보다 한참 낮다. 대만 배수는 1년 수익률 +104%·+268%가 말하듯 AI 테마로 재평가된 값이라 그대로 쓰지 않는다. 디스플레이는 유지 CAPEX가 크고 중국 경쟁이 구조적이라 사이클 중립 3~4배가 이 회사의 10년 역사적 범위다.</t>
        </is>
      </c>
    </row>
    <row r="6">
      <c r="A6" s="5" t="inlineStr">
        <is>
          <t>순이익 실적 마스크</t>
        </is>
      </c>
      <c r="B6" s="2" t="inlineStr">
        <is>
          <t>ni_hist</t>
        </is>
      </c>
      <c r="C6" s="2" t="inlineStr"/>
      <c r="D6" s="9" t="n">
        <v>1</v>
      </c>
      <c r="E6" s="9" t="n">
        <v>1</v>
      </c>
      <c r="F6" s="9" t="n">
        <v>1</v>
      </c>
      <c r="G6" s="9" t="n">
        <v>1</v>
      </c>
      <c r="H6" s="9" t="n">
        <v>1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1" t="inlineStr">
        <is>
          <t>[객관] 실적 연도 표시(1). 순이익은 적자 연도가 있어 "실적 &gt; 0" 관용구를 쓸 수 없다 — LGD·삼성전자 DS에서 확립한 hist 마스크 패턴.</t>
        </is>
      </c>
    </row>
    <row r="7">
      <c r="A7" s="5" t="inlineStr">
        <is>
          <t>순이익 실적</t>
        </is>
      </c>
      <c r="B7" s="2" t="inlineStr">
        <is>
          <t>ni_actual</t>
        </is>
      </c>
      <c r="C7" s="2" t="inlineStr">
        <is>
          <t>억원</t>
        </is>
      </c>
      <c r="D7" s="9" t="n">
        <v>11861.82</v>
      </c>
      <c r="E7" s="9" t="n">
        <v>-30715.65</v>
      </c>
      <c r="F7" s="9" t="n">
        <v>-27337.42</v>
      </c>
      <c r="G7" s="9" t="n">
        <v>-25626.06</v>
      </c>
      <c r="H7" s="9" t="n">
        <v>2263.12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1" t="inlineStr">
        <is>
          <t>[객관] 연결 지배주주 순이익 확정값 (사업보고서 연결포괄손익계산서).</t>
        </is>
      </c>
    </row>
    <row r="8">
      <c r="A8" s="5" t="inlineStr">
        <is>
          <t>영업외손익</t>
        </is>
      </c>
      <c r="B8" s="2" t="inlineStr">
        <is>
          <t>nonop</t>
        </is>
      </c>
      <c r="C8" s="2" t="inlineStr">
        <is>
          <t>억원</t>
        </is>
      </c>
      <c r="D8" s="9" t="n">
        <v>-5117.23</v>
      </c>
      <c r="E8" s="9" t="n">
        <v>-13483.23</v>
      </c>
      <c r="F8" s="9" t="n">
        <v>-8292.77</v>
      </c>
      <c r="G8" s="9" t="n">
        <v>-16309.44</v>
      </c>
      <c r="H8" s="9" t="n">
        <v>-152.88</v>
      </c>
      <c r="I8" s="10" t="n">
        <v>-300</v>
      </c>
      <c r="J8" s="10" t="n">
        <v>-300</v>
      </c>
      <c r="K8" s="10" t="n">
        <v>-300</v>
      </c>
      <c r="L8" s="10" t="n">
        <v>-300</v>
      </c>
      <c r="M8" s="10" t="n">
        <v>-300</v>
      </c>
      <c r="N8" s="11" t="inlineStr">
        <is>
          <t>[주관 추정 · 실적은 공시값] 영업외손익 = 세전이익 − 영업이익. 실적 −5,117/−13,483/−8,293/−16,309/−153억 — 손상차손이 지배해 과거는 예측 불가. 2025(−153억)를 바닥으로 이자 부담을 감안해 **−300억 고정**. 손상 재발은 Bear의 영역.</t>
        </is>
      </c>
    </row>
    <row r="9">
      <c r="A9" s="5" t="inlineStr">
        <is>
          <t>실효세율</t>
        </is>
      </c>
      <c r="B9" s="2" t="inlineStr">
        <is>
          <t>tax_rate</t>
        </is>
      </c>
      <c r="C9" s="2" t="inlineStr">
        <is>
          <t>%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3" t="n">
        <v>0.25</v>
      </c>
      <c r="J9" s="13" t="n">
        <v>0.25</v>
      </c>
      <c r="K9" s="13" t="n">
        <v>0.25</v>
      </c>
      <c r="L9" s="13" t="n">
        <v>0.25</v>
      </c>
      <c r="M9" s="13" t="n">
        <v>0.25</v>
      </c>
      <c r="N9" s="11" t="inlineStr">
        <is>
          <t>[주관] 실효세율. 2025 실효 39.4%는 이연법인세 영향 — 정상화 25% 가정.</t>
        </is>
      </c>
    </row>
    <row r="10">
      <c r="A10" s="5" t="inlineStr">
        <is>
          <t>지배지분 비율</t>
        </is>
      </c>
      <c r="B10" s="2" t="inlineStr">
        <is>
          <t>ctrl_ratio</t>
        </is>
      </c>
      <c r="C10" s="2" t="inlineStr">
        <is>
          <t>%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3" t="n">
        <v>0.75</v>
      </c>
      <c r="J10" s="13" t="n">
        <v>0.75</v>
      </c>
      <c r="K10" s="13" t="n">
        <v>0.75</v>
      </c>
      <c r="L10" s="13" t="n">
        <v>0.75</v>
      </c>
      <c r="M10" s="13" t="n">
        <v>0.75</v>
      </c>
      <c r="N10" s="11" t="inlineStr">
        <is>
          <t>[주관] 지배지분 비율. 2025 지배 74.5%(광저우 등 비지배 흑자) — **회복 이익의 1/4은 주주 몫이 아니다**. 75% 고정.</t>
        </is>
      </c>
    </row>
    <row r="11">
      <c r="A11" s="5" t="inlineStr">
        <is>
          <t>상장주식수</t>
        </is>
      </c>
      <c r="B11" s="2" t="inlineStr">
        <is>
          <t>shares</t>
        </is>
      </c>
      <c r="C11" s="2" t="inlineStr">
        <is>
          <t>백만주</t>
        </is>
      </c>
      <c r="D11" s="9" t="n">
        <v>500</v>
      </c>
      <c r="E11" s="9" t="n">
        <v>500</v>
      </c>
      <c r="F11" s="9" t="n">
        <v>500</v>
      </c>
      <c r="G11" s="9" t="n">
        <v>500</v>
      </c>
      <c r="H11" s="9" t="n">
        <v>500</v>
      </c>
      <c r="I11" s="10" t="n">
        <v>500</v>
      </c>
      <c r="J11" s="10" t="n">
        <v>500</v>
      </c>
      <c r="K11" s="10" t="n">
        <v>500</v>
      </c>
      <c r="L11" s="10" t="n">
        <v>500</v>
      </c>
      <c r="M11" s="10" t="n">
        <v>500</v>
      </c>
      <c r="N11" s="11" t="inlineStr">
        <is>
          <t>[객관] 상장주식수 5.0억주(2024 유상증자 반영) 고정.</t>
        </is>
      </c>
    </row>
    <row r="12">
      <c r="A12" s="5" t="inlineStr">
        <is>
          <t>DPS 실적</t>
        </is>
      </c>
      <c r="B12" s="2" t="inlineStr">
        <is>
          <t>dps_a</t>
        </is>
      </c>
      <c r="C12" s="2" t="inlineStr">
        <is>
          <t>원</t>
        </is>
      </c>
      <c r="D12" s="9" t="n">
        <v>650</v>
      </c>
      <c r="E12" s="9" t="n">
        <v>0</v>
      </c>
      <c r="F12" s="9" t="n">
        <v>0</v>
      </c>
      <c r="G12" s="9" t="n">
        <v>0</v>
      </c>
      <c r="H12" s="9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 t="inlineStr">
        <is>
          <t>[객관] 주당 현금배당. 2021 650원 이후 무배당.</t>
        </is>
      </c>
    </row>
    <row r="13">
      <c r="A13" s="5" t="inlineStr">
        <is>
          <t>배당성향</t>
        </is>
      </c>
      <c r="B13" s="2" t="inlineStr">
        <is>
          <t>payout</t>
        </is>
      </c>
      <c r="C13" s="2" t="inlineStr">
        <is>
          <t>%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1" t="inlineStr">
        <is>
          <t>[주관] 배당성향 0% — 순차입금 상환이 우선이라 **배당 재개를 가정하지 않는다**. 재개 시나리오는 이 슬라이더로 본다.</t>
        </is>
      </c>
    </row>
    <row r="14">
      <c r="A14" s="5" t="inlineStr">
        <is>
          <t>감가상각 실적</t>
        </is>
      </c>
      <c r="B14" s="2" t="inlineStr">
        <is>
          <t>dep_actual</t>
        </is>
      </c>
      <c r="C14" s="2" t="inlineStr">
        <is>
          <t>억원</t>
        </is>
      </c>
      <c r="D14" s="9" t="n">
        <v>45007.01</v>
      </c>
      <c r="E14" s="9" t="n">
        <v>45574.57</v>
      </c>
      <c r="F14" s="9" t="n">
        <v>42137.42</v>
      </c>
      <c r="G14" s="9" t="n">
        <v>51256.37</v>
      </c>
      <c r="H14" s="9" t="n">
        <v>43541.45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1" t="inlineStr">
        <is>
          <t>[객관] 비용의 성격별 분류 주석.</t>
        </is>
      </c>
    </row>
    <row r="15">
      <c r="A15" s="5" t="inlineStr">
        <is>
          <t>감가상각 증가율</t>
        </is>
      </c>
      <c r="B15" s="2" t="inlineStr">
        <is>
          <t>dep_g</t>
        </is>
      </c>
      <c r="C15" s="2" t="inlineStr">
        <is>
          <t>%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-0.12</v>
      </c>
      <c r="J15" s="13" t="n">
        <v>-0.1</v>
      </c>
      <c r="K15" s="13" t="n">
        <v>-0.08</v>
      </c>
      <c r="L15" s="13" t="n">
        <v>-0.05</v>
      </c>
      <c r="M15" s="13" t="n">
        <v>-0.03</v>
      </c>
      <c r="N15" s="11" t="inlineStr">
        <is>
          <t>[주관] CAPEX가 5.08조(2022) → 1.35조(2025)로 **4년간 73% 줄었다**. 감가상각 4.35조 대비 CAPEX 1.35조 — 신규 투자가 상각 소멸분을 채우지 못하므로 감가상각은 구조적으로 감소한다. 연 −12%에서 −3%로 체감. 이 감소가 영업이익 개선의 기계적 동력이다 (삼성전기의 역방향).</t>
        </is>
      </c>
    </row>
    <row r="16">
      <c r="A16" s="5" t="inlineStr">
        <is>
          <t>기타비용 실적</t>
        </is>
      </c>
      <c r="B16" s="2" t="inlineStr">
        <is>
          <t>other_actual</t>
        </is>
      </c>
      <c r="C16" s="2" t="inlineStr">
        <is>
          <t>억원</t>
        </is>
      </c>
      <c r="D16" s="9" t="n">
        <v>231467.34</v>
      </c>
      <c r="E16" s="9" t="n">
        <v>236793.71</v>
      </c>
      <c r="F16" s="9" t="n">
        <v>196272.41</v>
      </c>
      <c r="G16" s="9" t="n">
        <v>220503.06</v>
      </c>
      <c r="H16" s="9" t="n">
        <v>209389.6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1" t="inlineStr">
        <is>
          <t>[객관] 확정값에서 역산. 세 항목 모두 공시값이라 결과도 확정이다.</t>
        </is>
      </c>
    </row>
    <row r="17">
      <c r="A17" s="5" t="inlineStr">
        <is>
          <t>기타비용률</t>
        </is>
      </c>
      <c r="B17" s="2" t="inlineStr">
        <is>
          <t>other_ratio</t>
        </is>
      </c>
      <c r="C17" s="2" t="inlineStr">
        <is>
          <t>%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3" t="n">
        <v>0.8100000000000001</v>
      </c>
      <c r="J17" s="13" t="n">
        <v>0.8080000000000001</v>
      </c>
      <c r="K17" s="13" t="n">
        <v>0.806</v>
      </c>
      <c r="L17" s="13" t="n">
        <v>0.805</v>
      </c>
      <c r="M17" s="13" t="n">
        <v>0.804</v>
      </c>
      <c r="N17" s="11" t="inlineStr">
        <is>
          <t>[주관] 실적 77.5 → 90.5 → 92.0 → 82.8 → 81.1%. 판가 사이클에 따라 15%p 진동한다. 2025년 수준(81.1%)에서 사실상 고정하고 연 0.1~0.2%p만 개선 — OLED 믹스 개선과 중국 LCD 판가 압박이 상쇄된다고 봤다. 2021년(77.5%) 복귀는 Bull에서만 가정한다.</t>
        </is>
      </c>
    </row>
    <row r="18">
      <c r="A18" s="5" t="inlineStr">
        <is>
          <t>매출 실적</t>
        </is>
      </c>
      <c r="B18" s="2" t="inlineStr">
        <is>
          <t>rev_actual</t>
        </is>
      </c>
      <c r="C18" s="2" t="inlineStr">
        <is>
          <t>억원</t>
        </is>
      </c>
      <c r="D18" s="9" t="n">
        <v>298780.43</v>
      </c>
      <c r="E18" s="9" t="n">
        <v>261517.81</v>
      </c>
      <c r="F18" s="9" t="n">
        <v>213308.19</v>
      </c>
      <c r="G18" s="9" t="n">
        <v>266153.47</v>
      </c>
      <c r="H18" s="9" t="n">
        <v>258100.82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1" t="inlineStr">
        <is>
          <t>[객관] 요약연결재무정보.</t>
        </is>
      </c>
    </row>
    <row r="19">
      <c r="A19" s="5" t="inlineStr">
        <is>
          <t>매출 성장률</t>
        </is>
      </c>
      <c r="B19" s="2" t="inlineStr">
        <is>
          <t>rev_g</t>
        </is>
      </c>
      <c r="C19" s="2" t="inlineStr">
        <is>
          <t>%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3" t="n">
        <v>-0.01</v>
      </c>
      <c r="J19" s="13" t="n">
        <v>0.01</v>
      </c>
      <c r="K19" s="13" t="n">
        <v>0.01</v>
      </c>
      <c r="L19" s="13" t="n">
        <v>0.01</v>
      </c>
      <c r="M19" s="13" t="n">
        <v>0.01</v>
      </c>
      <c r="N19" s="11" t="inlineStr">
        <is>
          <t>[주관] 2026년 −1% 후 연 +1%. 컨센서스 2026 EBITDA가 2025년과 사실상 같은 수준(48,059 vs 48,711억)이라 시장도 매출 성장을 보지 않는다. LCD 축소가 이어지고 OLED(Auto·IT)가 그 공백을 겨우 메우는 그림. 성장이 아니라 **수익성과 레버리지**가 이 종목의 이야기다.</t>
        </is>
      </c>
    </row>
    <row r="20">
      <c r="A20" s="5" t="inlineStr">
        <is>
          <t>순차입금</t>
        </is>
      </c>
      <c r="B20" s="2" t="inlineStr">
        <is>
          <t>net_debt</t>
        </is>
      </c>
      <c r="C20" s="2" t="inlineStr">
        <is>
          <t>억원</t>
        </is>
      </c>
      <c r="D20" s="9" t="n">
        <v>91222.09</v>
      </c>
      <c r="E20" s="9" t="n">
        <v>131667.61</v>
      </c>
      <c r="F20" s="9" t="n">
        <v>142716.07</v>
      </c>
      <c r="G20" s="9" t="n">
        <v>125284.74</v>
      </c>
      <c r="H20" s="9" t="n">
        <v>110920.8</v>
      </c>
      <c r="I20" s="10" t="n">
        <v>110920.8</v>
      </c>
      <c r="J20" s="10" t="n">
        <v>110920.8</v>
      </c>
      <c r="K20" s="10" t="n">
        <v>110920.8</v>
      </c>
      <c r="L20" s="10" t="n">
        <v>110920.8</v>
      </c>
      <c r="M20" s="10" t="n">
        <v>110920.8</v>
      </c>
      <c r="N20" s="11" t="inlineStr">
        <is>
          <t>[객관 실적 / 추정 구간 고정] 단기차입금+유동성장기+장기차입금+사채 − 현금및현금성자산 (리스부채·파생 제외). 2022년 값이 두 보고서에서 14,991,410백만원으로 정확히 일치해 체인이 검증됐다. 정점 14.27조(2023)에서 11.09조(2025)로 2년간 3.2조 줄었다 — CAPEX 축소로 FCF가 돌기 시작한 결과다. 추정 구간은 2025년 수준 고정: 실제로는 더 줄 가능성이 높아 **보수적인 쪽**이지만, 차입 상환 속도를 모델링하려면 운전자본·리스·배당 가정이 다 필요해 넣지 않았다.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LG디스플레이 투자심사 모델</t>
        </is>
      </c>
    </row>
    <row r="2">
      <c r="A2" s="2" t="inlineStr">
        <is>
          <t>단위 억원 · 실적 5개년 + 추정 5개년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4" t="inlineStr">
        <is>
          <t>적정 시가총액</t>
        </is>
      </c>
      <c r="B5" s="2" t="inlineStr">
        <is>
          <t>root</t>
        </is>
      </c>
      <c r="C5" s="2" t="inlineStr">
        <is>
          <t>억원</t>
        </is>
      </c>
      <c r="D5" s="14">
        <f>(D6-D31)</f>
        <v/>
      </c>
      <c r="E5" s="14">
        <f>(E6-E31)</f>
        <v/>
      </c>
      <c r="F5" s="14">
        <f>(F6-F31)</f>
        <v/>
      </c>
      <c r="G5" s="14">
        <f>(G6-G31)</f>
        <v/>
      </c>
      <c r="H5" s="14">
        <f>(H6-H31)</f>
        <v/>
      </c>
      <c r="I5" s="14">
        <f>(I6-I31)</f>
        <v/>
      </c>
      <c r="J5" s="14">
        <f>(J6-J31)</f>
        <v/>
      </c>
      <c r="K5" s="14">
        <f>(K6-K31)</f>
        <v/>
      </c>
      <c r="L5" s="14">
        <f>(L6-L31)</f>
        <v/>
      </c>
      <c r="M5" s="14">
        <f>(M6-M31)</f>
        <v/>
      </c>
    </row>
    <row r="6">
      <c r="A6" s="15" t="inlineStr">
        <is>
          <t>사업가치 (EV)</t>
        </is>
      </c>
      <c r="B6" s="2" t="inlineStr">
        <is>
          <t>ev_value</t>
        </is>
      </c>
      <c r="C6" s="2" t="inlineStr">
        <is>
          <t>억원</t>
        </is>
      </c>
      <c r="D6" s="16">
        <f>(D8*D7)</f>
        <v/>
      </c>
      <c r="E6" s="16">
        <f>(E8*E7)</f>
        <v/>
      </c>
      <c r="F6" s="16">
        <f>(F8*F7)</f>
        <v/>
      </c>
      <c r="G6" s="16">
        <f>(G8*G7)</f>
        <v/>
      </c>
      <c r="H6" s="16">
        <f>(H8*H7)</f>
        <v/>
      </c>
      <c r="I6" s="17">
        <f>(I8*I7)</f>
        <v/>
      </c>
      <c r="J6" s="17">
        <f>(J8*J7)</f>
        <v/>
      </c>
      <c r="K6" s="17">
        <f>(K8*K7)</f>
        <v/>
      </c>
      <c r="L6" s="17">
        <f>(L8*L7)</f>
        <v/>
      </c>
      <c r="M6" s="17">
        <f>(M8*M7)</f>
        <v/>
      </c>
    </row>
    <row r="7">
      <c r="A7" s="18" t="inlineStr">
        <is>
          <t>목표 EV/EBITDA</t>
        </is>
      </c>
      <c r="B7" s="2" t="inlineStr">
        <is>
          <t>target_ev_ebitda</t>
        </is>
      </c>
      <c r="C7" s="2" t="inlineStr">
        <is>
          <t>배</t>
        </is>
      </c>
      <c r="D7" s="19" t="n">
        <v>3.5</v>
      </c>
      <c r="E7" s="19" t="n">
        <v>3.5</v>
      </c>
      <c r="F7" s="19" t="n">
        <v>3.5</v>
      </c>
      <c r="G7" s="19" t="n">
        <v>3.5</v>
      </c>
      <c r="H7" s="19" t="n">
        <v>3.5</v>
      </c>
      <c r="I7" s="20" t="n">
        <v>3.5</v>
      </c>
      <c r="J7" s="20" t="n">
        <v>3.5</v>
      </c>
      <c r="K7" s="20" t="n">
        <v>3.5</v>
      </c>
      <c r="L7" s="20" t="n">
        <v>3.5</v>
      </c>
      <c r="M7" s="20" t="n">
        <v>3.5</v>
      </c>
    </row>
    <row r="8">
      <c r="A8" s="18" t="inlineStr">
        <is>
          <t>EBITDA</t>
        </is>
      </c>
      <c r="B8" s="2" t="inlineStr">
        <is>
          <t>ebitda</t>
        </is>
      </c>
      <c r="C8" s="2" t="inlineStr">
        <is>
          <t>억원</t>
        </is>
      </c>
      <c r="D8" s="16">
        <f>(D9+D22)</f>
        <v/>
      </c>
      <c r="E8" s="16">
        <f>(E9+E22)</f>
        <v/>
      </c>
      <c r="F8" s="16">
        <f>(F9+F22)</f>
        <v/>
      </c>
      <c r="G8" s="16">
        <f>(G9+G22)</f>
        <v/>
      </c>
      <c r="H8" s="16">
        <f>(H9+H22)</f>
        <v/>
      </c>
      <c r="I8" s="17">
        <f>(I9+I22)</f>
        <v/>
      </c>
      <c r="J8" s="17">
        <f>(J9+J22)</f>
        <v/>
      </c>
      <c r="K8" s="17">
        <f>(K9+K22)</f>
        <v/>
      </c>
      <c r="L8" s="17">
        <f>(L9+L22)</f>
        <v/>
      </c>
      <c r="M8" s="17">
        <f>(M9+M22)</f>
        <v/>
      </c>
    </row>
    <row r="9">
      <c r="A9" s="21" t="inlineStr">
        <is>
          <t>영업이익</t>
        </is>
      </c>
      <c r="B9" s="2" t="inlineStr">
        <is>
          <t>op_profit</t>
        </is>
      </c>
      <c r="C9" s="2" t="inlineStr">
        <is>
          <t>억원</t>
        </is>
      </c>
      <c r="D9" s="16">
        <f>(D28-D21)</f>
        <v/>
      </c>
      <c r="E9" s="16">
        <f>(E28-E21)</f>
        <v/>
      </c>
      <c r="F9" s="16">
        <f>(F28-F21)</f>
        <v/>
      </c>
      <c r="G9" s="16">
        <f>(G28-G21)</f>
        <v/>
      </c>
      <c r="H9" s="16">
        <f>(H28-H21)</f>
        <v/>
      </c>
      <c r="I9" s="17">
        <f>(I28-I21)</f>
        <v/>
      </c>
      <c r="J9" s="17">
        <f>(J28-J21)</f>
        <v/>
      </c>
      <c r="K9" s="17">
        <f>(K28-K21)</f>
        <v/>
      </c>
      <c r="L9" s="17">
        <f>(L28-L21)</f>
        <v/>
      </c>
      <c r="M9" s="17">
        <f>(M28-M21)</f>
        <v/>
      </c>
    </row>
    <row r="10">
      <c r="A10" s="22" t="inlineStr">
        <is>
          <t>지배주주 순이익 (참고)</t>
        </is>
      </c>
      <c r="B10" s="2" t="inlineStr">
        <is>
          <t>net_income</t>
        </is>
      </c>
      <c r="C10" s="2" t="inlineStr">
        <is>
          <t>억원</t>
        </is>
      </c>
      <c r="D10" s="16">
        <f>IF((D11&gt;0),D12,(((D9+D13)*(1-D14))*D15))</f>
        <v/>
      </c>
      <c r="E10" s="16">
        <f>IF((E11&gt;0),E12,(((E9+E13)*(1-E14))*E15))</f>
        <v/>
      </c>
      <c r="F10" s="16">
        <f>IF((F11&gt;0),F12,(((F9+F13)*(1-F14))*F15))</f>
        <v/>
      </c>
      <c r="G10" s="16">
        <f>IF((G11&gt;0),G12,(((G9+G13)*(1-G14))*G15))</f>
        <v/>
      </c>
      <c r="H10" s="16">
        <f>IF((H11&gt;0),H12,(((H9+H13)*(1-H14))*H15))</f>
        <v/>
      </c>
      <c r="I10" s="17">
        <f>IF((I11&gt;0),I12,(((I9+I13)*(1-I14))*I15))</f>
        <v/>
      </c>
      <c r="J10" s="17">
        <f>IF((J11&gt;0),J12,(((J9+J13)*(1-J14))*J15))</f>
        <v/>
      </c>
      <c r="K10" s="17">
        <f>IF((K11&gt;0),K12,(((K9+K13)*(1-K14))*K15))</f>
        <v/>
      </c>
      <c r="L10" s="17">
        <f>IF((L11&gt;0),L12,(((L9+L13)*(1-L14))*L15))</f>
        <v/>
      </c>
      <c r="M10" s="17">
        <f>IF((M11&gt;0),M12,(((M9+M13)*(1-M14))*M15))</f>
        <v/>
      </c>
    </row>
    <row r="11">
      <c r="A11" s="23" t="inlineStr">
        <is>
          <t>순이익 실적 마스크</t>
        </is>
      </c>
      <c r="B11" s="2" t="inlineStr">
        <is>
          <t>ni_hist</t>
        </is>
      </c>
      <c r="C11" s="2" t="inlineStr"/>
      <c r="D11" s="19" t="n">
        <v>1</v>
      </c>
      <c r="E11" s="19" t="n">
        <v>1</v>
      </c>
      <c r="F11" s="19" t="n">
        <v>1</v>
      </c>
      <c r="G11" s="19" t="n">
        <v>1</v>
      </c>
      <c r="H11" s="19" t="n">
        <v>1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</row>
    <row r="12">
      <c r="A12" s="23" t="inlineStr">
        <is>
          <t>순이익 실적</t>
        </is>
      </c>
      <c r="B12" s="2" t="inlineStr">
        <is>
          <t>ni_actual</t>
        </is>
      </c>
      <c r="C12" s="2" t="inlineStr">
        <is>
          <t>억원</t>
        </is>
      </c>
      <c r="D12" s="19" t="n">
        <v>11861.82</v>
      </c>
      <c r="E12" s="19" t="n">
        <v>-30715.65</v>
      </c>
      <c r="F12" s="19" t="n">
        <v>-27337.42</v>
      </c>
      <c r="G12" s="19" t="n">
        <v>-25626.06</v>
      </c>
      <c r="H12" s="19" t="n">
        <v>2263.12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</row>
    <row r="13">
      <c r="A13" s="23" t="inlineStr">
        <is>
          <t>영업외손익</t>
        </is>
      </c>
      <c r="B13" s="2" t="inlineStr">
        <is>
          <t>nonop</t>
        </is>
      </c>
      <c r="C13" s="2" t="inlineStr">
        <is>
          <t>억원</t>
        </is>
      </c>
      <c r="D13" s="19" t="n">
        <v>-5117.23</v>
      </c>
      <c r="E13" s="19" t="n">
        <v>-13483.23</v>
      </c>
      <c r="F13" s="19" t="n">
        <v>-8292.77</v>
      </c>
      <c r="G13" s="19" t="n">
        <v>-16309.44</v>
      </c>
      <c r="H13" s="19" t="n">
        <v>-152.88</v>
      </c>
      <c r="I13" s="20" t="n">
        <v>-300</v>
      </c>
      <c r="J13" s="20" t="n">
        <v>-300</v>
      </c>
      <c r="K13" s="20" t="n">
        <v>-300</v>
      </c>
      <c r="L13" s="20" t="n">
        <v>-300</v>
      </c>
      <c r="M13" s="20" t="n">
        <v>-300</v>
      </c>
    </row>
    <row r="14">
      <c r="A14" s="23" t="inlineStr">
        <is>
          <t>실효세율</t>
        </is>
      </c>
      <c r="B14" s="2" t="inlineStr">
        <is>
          <t>tax_rate</t>
        </is>
      </c>
      <c r="C14" s="2" t="inlineStr">
        <is>
          <t>%</t>
        </is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5" t="n">
        <v>0.25</v>
      </c>
      <c r="J14" s="25" t="n">
        <v>0.25</v>
      </c>
      <c r="K14" s="25" t="n">
        <v>0.25</v>
      </c>
      <c r="L14" s="25" t="n">
        <v>0.25</v>
      </c>
      <c r="M14" s="25" t="n">
        <v>0.25</v>
      </c>
    </row>
    <row r="15">
      <c r="A15" s="23" t="inlineStr">
        <is>
          <t>지배지분 비율</t>
        </is>
      </c>
      <c r="B15" s="2" t="inlineStr">
        <is>
          <t>ctrl_ratio</t>
        </is>
      </c>
      <c r="C15" s="2" t="inlineStr">
        <is>
          <t>%</t>
        </is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5" t="n">
        <v>0.75</v>
      </c>
      <c r="J15" s="25" t="n">
        <v>0.75</v>
      </c>
      <c r="K15" s="25" t="n">
        <v>0.75</v>
      </c>
      <c r="L15" s="25" t="n">
        <v>0.75</v>
      </c>
      <c r="M15" s="25" t="n">
        <v>0.75</v>
      </c>
    </row>
    <row r="16">
      <c r="A16" s="23" t="inlineStr">
        <is>
          <t>EPS (참고)</t>
        </is>
      </c>
      <c r="B16" s="2" t="inlineStr">
        <is>
          <t>eps</t>
        </is>
      </c>
      <c r="C16" s="2" t="inlineStr">
        <is>
          <t>원</t>
        </is>
      </c>
      <c r="D16" s="16">
        <f>((D10/D17)*100)</f>
        <v/>
      </c>
      <c r="E16" s="16">
        <f>((E10/E17)*100)</f>
        <v/>
      </c>
      <c r="F16" s="16">
        <f>((F10/F17)*100)</f>
        <v/>
      </c>
      <c r="G16" s="16">
        <f>((G10/G17)*100)</f>
        <v/>
      </c>
      <c r="H16" s="16">
        <f>((H10/H17)*100)</f>
        <v/>
      </c>
      <c r="I16" s="17">
        <f>((I10/I17)*100)</f>
        <v/>
      </c>
      <c r="J16" s="17">
        <f>((J10/J17)*100)</f>
        <v/>
      </c>
      <c r="K16" s="17">
        <f>((K10/K17)*100)</f>
        <v/>
      </c>
      <c r="L16" s="17">
        <f>((L10/L17)*100)</f>
        <v/>
      </c>
      <c r="M16" s="17">
        <f>((M10/M17)*100)</f>
        <v/>
      </c>
    </row>
    <row r="17">
      <c r="A17" s="26" t="inlineStr">
        <is>
          <t>상장주식수</t>
        </is>
      </c>
      <c r="B17" s="2" t="inlineStr">
        <is>
          <t>shares</t>
        </is>
      </c>
      <c r="C17" s="2" t="inlineStr">
        <is>
          <t>백만주</t>
        </is>
      </c>
      <c r="D17" s="19" t="n">
        <v>500</v>
      </c>
      <c r="E17" s="19" t="n">
        <v>500</v>
      </c>
      <c r="F17" s="19" t="n">
        <v>500</v>
      </c>
      <c r="G17" s="19" t="n">
        <v>500</v>
      </c>
      <c r="H17" s="19" t="n">
        <v>500</v>
      </c>
      <c r="I17" s="20" t="n">
        <v>500</v>
      </c>
      <c r="J17" s="20" t="n">
        <v>500</v>
      </c>
      <c r="K17" s="20" t="n">
        <v>500</v>
      </c>
      <c r="L17" s="20" t="n">
        <v>500</v>
      </c>
      <c r="M17" s="20" t="n">
        <v>500</v>
      </c>
    </row>
    <row r="18">
      <c r="A18" s="26" t="inlineStr">
        <is>
          <t>DPS (참고)</t>
        </is>
      </c>
      <c r="B18" s="2" t="inlineStr">
        <is>
          <t>dps</t>
        </is>
      </c>
      <c r="C18" s="2" t="inlineStr">
        <is>
          <t>원</t>
        </is>
      </c>
      <c r="D18" s="16">
        <f>IF((D11&gt;0),D19,(D16*D20))</f>
        <v/>
      </c>
      <c r="E18" s="16">
        <f>IF((E11&gt;0),E19,(E16*E20))</f>
        <v/>
      </c>
      <c r="F18" s="16">
        <f>IF((F11&gt;0),F19,(F16*F20))</f>
        <v/>
      </c>
      <c r="G18" s="16">
        <f>IF((G11&gt;0),G19,(G16*G20))</f>
        <v/>
      </c>
      <c r="H18" s="16">
        <f>IF((H11&gt;0),H19,(H16*H20))</f>
        <v/>
      </c>
      <c r="I18" s="17">
        <f>IF((I11&gt;0),I19,(I16*I20))</f>
        <v/>
      </c>
      <c r="J18" s="17">
        <f>IF((J11&gt;0),J19,(J16*J20))</f>
        <v/>
      </c>
      <c r="K18" s="17">
        <f>IF((K11&gt;0),K19,(K16*K20))</f>
        <v/>
      </c>
      <c r="L18" s="17">
        <f>IF((L11&gt;0),L19,(L16*L20))</f>
        <v/>
      </c>
      <c r="M18" s="17">
        <f>IF((M11&gt;0),M19,(M16*M20))</f>
        <v/>
      </c>
    </row>
    <row r="19">
      <c r="A19" s="27" t="inlineStr">
        <is>
          <t>DPS 실적</t>
        </is>
      </c>
      <c r="B19" s="2" t="inlineStr">
        <is>
          <t>dps_a</t>
        </is>
      </c>
      <c r="C19" s="2" t="inlineStr">
        <is>
          <t>원</t>
        </is>
      </c>
      <c r="D19" s="19" t="n">
        <v>650</v>
      </c>
      <c r="E19" s="19" t="n">
        <v>0</v>
      </c>
      <c r="F19" s="19" t="n">
        <v>0</v>
      </c>
      <c r="G19" s="19" t="n">
        <v>0</v>
      </c>
      <c r="H19" s="19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</row>
    <row r="20">
      <c r="A20" s="27" t="inlineStr">
        <is>
          <t>배당성향</t>
        </is>
      </c>
      <c r="B20" s="2" t="inlineStr">
        <is>
          <t>payout</t>
        </is>
      </c>
      <c r="C20" s="2" t="inlineStr">
        <is>
          <t>%</t>
        </is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</row>
    <row r="21">
      <c r="A21" s="22" t="inlineStr">
        <is>
          <t>총비용</t>
        </is>
      </c>
      <c r="B21" s="2" t="inlineStr">
        <is>
          <t>total_cost</t>
        </is>
      </c>
      <c r="C21" s="2" t="inlineStr">
        <is>
          <t>억원</t>
        </is>
      </c>
      <c r="D21" s="16">
        <f>(D22+D25)</f>
        <v/>
      </c>
      <c r="E21" s="16">
        <f>(E22+E25)</f>
        <v/>
      </c>
      <c r="F21" s="16">
        <f>(F22+F25)</f>
        <v/>
      </c>
      <c r="G21" s="16">
        <f>(G22+G25)</f>
        <v/>
      </c>
      <c r="H21" s="16">
        <f>(H22+H25)</f>
        <v/>
      </c>
      <c r="I21" s="17">
        <f>(I22+I25)</f>
        <v/>
      </c>
      <c r="J21" s="17">
        <f>(J22+J25)</f>
        <v/>
      </c>
      <c r="K21" s="17">
        <f>(K22+K25)</f>
        <v/>
      </c>
      <c r="L21" s="17">
        <f>(L22+L25)</f>
        <v/>
      </c>
      <c r="M21" s="17">
        <f>(M22+M25)</f>
        <v/>
      </c>
    </row>
    <row r="22">
      <c r="A22" s="23" t="inlineStr">
        <is>
          <t>감가상각비</t>
        </is>
      </c>
      <c r="B22" s="2" t="inlineStr">
        <is>
          <t>dep_total</t>
        </is>
      </c>
      <c r="C22" s="2" t="inlineStr">
        <is>
          <t>억원</t>
        </is>
      </c>
      <c r="D22" s="16">
        <f>IF((D23&gt;0),D23,(0*(1+D24)))</f>
        <v/>
      </c>
      <c r="E22" s="16">
        <f>IF((E23&gt;0),E23,(D22*(1+E24)))</f>
        <v/>
      </c>
      <c r="F22" s="16">
        <f>IF((F23&gt;0),F23,(E22*(1+F24)))</f>
        <v/>
      </c>
      <c r="G22" s="16">
        <f>IF((G23&gt;0),G23,(F22*(1+G24)))</f>
        <v/>
      </c>
      <c r="H22" s="16">
        <f>IF((H23&gt;0),H23,(G22*(1+H24)))</f>
        <v/>
      </c>
      <c r="I22" s="17">
        <f>IF((I23&gt;0),I23,(H22*(1+I24)))</f>
        <v/>
      </c>
      <c r="J22" s="17">
        <f>IF((J23&gt;0),J23,(I22*(1+J24)))</f>
        <v/>
      </c>
      <c r="K22" s="17">
        <f>IF((K23&gt;0),K23,(J22*(1+K24)))</f>
        <v/>
      </c>
      <c r="L22" s="17">
        <f>IF((L23&gt;0),L23,(K22*(1+L24)))</f>
        <v/>
      </c>
      <c r="M22" s="17">
        <f>IF((M23&gt;0),M23,(L22*(1+M24)))</f>
        <v/>
      </c>
    </row>
    <row r="23">
      <c r="A23" s="26" t="inlineStr">
        <is>
          <t>감가상각 실적</t>
        </is>
      </c>
      <c r="B23" s="2" t="inlineStr">
        <is>
          <t>dep_actual</t>
        </is>
      </c>
      <c r="C23" s="2" t="inlineStr">
        <is>
          <t>억원</t>
        </is>
      </c>
      <c r="D23" s="19" t="n">
        <v>45007.01</v>
      </c>
      <c r="E23" s="19" t="n">
        <v>45574.57</v>
      </c>
      <c r="F23" s="19" t="n">
        <v>42137.42</v>
      </c>
      <c r="G23" s="19" t="n">
        <v>51256.37</v>
      </c>
      <c r="H23" s="19" t="n">
        <v>43541.45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</row>
    <row r="24">
      <c r="A24" s="26" t="inlineStr">
        <is>
          <t>감가상각 증가율</t>
        </is>
      </c>
      <c r="B24" s="2" t="inlineStr">
        <is>
          <t>dep_g</t>
        </is>
      </c>
      <c r="C24" s="2" t="inlineStr">
        <is>
          <t>%</t>
        </is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5" t="n">
        <v>-0.12</v>
      </c>
      <c r="J24" s="25" t="n">
        <v>-0.1</v>
      </c>
      <c r="K24" s="25" t="n">
        <v>-0.08</v>
      </c>
      <c r="L24" s="25" t="n">
        <v>-0.05</v>
      </c>
      <c r="M24" s="25" t="n">
        <v>-0.03</v>
      </c>
    </row>
    <row r="25">
      <c r="A25" s="23" t="inlineStr">
        <is>
          <t>기타비용</t>
        </is>
      </c>
      <c r="B25" s="2" t="inlineStr">
        <is>
          <t>other_cost</t>
        </is>
      </c>
      <c r="C25" s="2" t="inlineStr">
        <is>
          <t>억원</t>
        </is>
      </c>
      <c r="D25" s="16">
        <f>IF((D26&gt;0),D26,(D28*D27))</f>
        <v/>
      </c>
      <c r="E25" s="16">
        <f>IF((E26&gt;0),E26,(E28*E27))</f>
        <v/>
      </c>
      <c r="F25" s="16">
        <f>IF((F26&gt;0),F26,(F28*F27))</f>
        <v/>
      </c>
      <c r="G25" s="16">
        <f>IF((G26&gt;0),G26,(G28*G27))</f>
        <v/>
      </c>
      <c r="H25" s="16">
        <f>IF((H26&gt;0),H26,(H28*H27))</f>
        <v/>
      </c>
      <c r="I25" s="17">
        <f>IF((I26&gt;0),I26,(I28*I27))</f>
        <v/>
      </c>
      <c r="J25" s="17">
        <f>IF((J26&gt;0),J26,(J28*J27))</f>
        <v/>
      </c>
      <c r="K25" s="17">
        <f>IF((K26&gt;0),K26,(K28*K27))</f>
        <v/>
      </c>
      <c r="L25" s="17">
        <f>IF((L26&gt;0),L26,(L28*L27))</f>
        <v/>
      </c>
      <c r="M25" s="17">
        <f>IF((M26&gt;0),M26,(M28*M27))</f>
        <v/>
      </c>
    </row>
    <row r="26">
      <c r="A26" s="26" t="inlineStr">
        <is>
          <t>기타비용 실적</t>
        </is>
      </c>
      <c r="B26" s="2" t="inlineStr">
        <is>
          <t>other_actual</t>
        </is>
      </c>
      <c r="C26" s="2" t="inlineStr">
        <is>
          <t>억원</t>
        </is>
      </c>
      <c r="D26" s="19" t="n">
        <v>231467.34</v>
      </c>
      <c r="E26" s="19" t="n">
        <v>236793.71</v>
      </c>
      <c r="F26" s="19" t="n">
        <v>196272.41</v>
      </c>
      <c r="G26" s="19" t="n">
        <v>220503.06</v>
      </c>
      <c r="H26" s="19" t="n">
        <v>209389.6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</row>
    <row r="27">
      <c r="A27" s="26" t="inlineStr">
        <is>
          <t>기타비용률</t>
        </is>
      </c>
      <c r="B27" s="2" t="inlineStr">
        <is>
          <t>other_ratio</t>
        </is>
      </c>
      <c r="C27" s="2" t="inlineStr">
        <is>
          <t>%</t>
        </is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5" t="n">
        <v>0.8100000000000001</v>
      </c>
      <c r="J27" s="25" t="n">
        <v>0.8080000000000001</v>
      </c>
      <c r="K27" s="25" t="n">
        <v>0.806</v>
      </c>
      <c r="L27" s="25" t="n">
        <v>0.805</v>
      </c>
      <c r="M27" s="25" t="n">
        <v>0.804</v>
      </c>
    </row>
    <row r="28">
      <c r="A28" s="22" t="inlineStr">
        <is>
          <t>매출</t>
        </is>
      </c>
      <c r="B28" s="2" t="inlineStr">
        <is>
          <t>revenue</t>
        </is>
      </c>
      <c r="C28" s="2" t="inlineStr">
        <is>
          <t>억원</t>
        </is>
      </c>
      <c r="D28" s="16">
        <f>IF((D29&gt;0),D29,(0*(1+D30)))</f>
        <v/>
      </c>
      <c r="E28" s="16">
        <f>IF((E29&gt;0),E29,(D28*(1+E30)))</f>
        <v/>
      </c>
      <c r="F28" s="16">
        <f>IF((F29&gt;0),F29,(E28*(1+F30)))</f>
        <v/>
      </c>
      <c r="G28" s="16">
        <f>IF((G29&gt;0),G29,(F28*(1+G30)))</f>
        <v/>
      </c>
      <c r="H28" s="16">
        <f>IF((H29&gt;0),H29,(G28*(1+H30)))</f>
        <v/>
      </c>
      <c r="I28" s="17">
        <f>IF((I29&gt;0),I29,(H28*(1+I30)))</f>
        <v/>
      </c>
      <c r="J28" s="17">
        <f>IF((J29&gt;0),J29,(I28*(1+J30)))</f>
        <v/>
      </c>
      <c r="K28" s="17">
        <f>IF((K29&gt;0),K29,(J28*(1+K30)))</f>
        <v/>
      </c>
      <c r="L28" s="17">
        <f>IF((L29&gt;0),L29,(K28*(1+L30)))</f>
        <v/>
      </c>
      <c r="M28" s="17">
        <f>IF((M29&gt;0),M29,(L28*(1+M30)))</f>
        <v/>
      </c>
    </row>
    <row r="29">
      <c r="A29" s="23" t="inlineStr">
        <is>
          <t>매출 실적</t>
        </is>
      </c>
      <c r="B29" s="2" t="inlineStr">
        <is>
          <t>rev_actual</t>
        </is>
      </c>
      <c r="C29" s="2" t="inlineStr">
        <is>
          <t>억원</t>
        </is>
      </c>
      <c r="D29" s="19" t="n">
        <v>298780.43</v>
      </c>
      <c r="E29" s="19" t="n">
        <v>261517.81</v>
      </c>
      <c r="F29" s="19" t="n">
        <v>213308.19</v>
      </c>
      <c r="G29" s="19" t="n">
        <v>266153.47</v>
      </c>
      <c r="H29" s="19" t="n">
        <v>258100.82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</row>
    <row r="30">
      <c r="A30" s="23" t="inlineStr">
        <is>
          <t>매출 성장률</t>
        </is>
      </c>
      <c r="B30" s="2" t="inlineStr">
        <is>
          <t>rev_g</t>
        </is>
      </c>
      <c r="C30" s="2" t="inlineStr">
        <is>
          <t>%</t>
        </is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5" t="n">
        <v>-0.01</v>
      </c>
      <c r="J30" s="25" t="n">
        <v>0.01</v>
      </c>
      <c r="K30" s="25" t="n">
        <v>0.01</v>
      </c>
      <c r="L30" s="25" t="n">
        <v>0.01</v>
      </c>
      <c r="M30" s="25" t="n">
        <v>0.01</v>
      </c>
    </row>
    <row r="31">
      <c r="A31" s="15" t="inlineStr">
        <is>
          <t>순차입금</t>
        </is>
      </c>
      <c r="B31" s="2" t="inlineStr">
        <is>
          <t>net_debt</t>
        </is>
      </c>
      <c r="C31" s="2" t="inlineStr">
        <is>
          <t>억원</t>
        </is>
      </c>
      <c r="D31" s="19" t="n">
        <v>91222.09</v>
      </c>
      <c r="E31" s="19" t="n">
        <v>131667.61</v>
      </c>
      <c r="F31" s="19" t="n">
        <v>142716.07</v>
      </c>
      <c r="G31" s="19" t="n">
        <v>125284.74</v>
      </c>
      <c r="H31" s="19" t="n">
        <v>110920.8</v>
      </c>
      <c r="I31" s="20" t="n">
        <v>110920.8</v>
      </c>
      <c r="J31" s="20" t="n">
        <v>110920.8</v>
      </c>
      <c r="K31" s="20" t="n">
        <v>110920.8</v>
      </c>
      <c r="L31" s="20" t="n">
        <v>110920.8</v>
      </c>
      <c r="M31" s="20" t="n">
        <v>110920.8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60" customWidth="1" min="4" max="4"/>
    <col width="60" customWidth="1" min="5" max="5"/>
  </cols>
  <sheetData>
    <row r="1">
      <c r="A1" s="1" t="inlineStr">
        <is>
          <t>수식 감사</t>
        </is>
      </c>
    </row>
    <row r="2">
      <c r="A2" s="2" t="inlineStr">
        <is>
          <t>모델 원식 ↔ Excel 셀 수식 대조. 변환은 엔진의 astToExcel이 담당한다.</t>
        </is>
      </c>
    </row>
    <row r="4">
      <c r="A4" s="3" t="inlineStr">
        <is>
          <t>노드 id</t>
        </is>
      </c>
      <c r="B4" s="3" t="inlineStr">
        <is>
          <t>계정</t>
        </is>
      </c>
      <c r="C4" s="3" t="inlineStr">
        <is>
          <t>행</t>
        </is>
      </c>
      <c r="D4" s="3" t="inlineStr">
        <is>
          <t>모델 원식</t>
        </is>
      </c>
      <c r="E4" s="3" t="inlineStr">
        <is>
          <t>첫 추정연도 셀 수식</t>
        </is>
      </c>
    </row>
    <row r="5">
      <c r="A5" s="2" t="inlineStr">
        <is>
          <t>root</t>
        </is>
      </c>
      <c r="B5" s="5" t="inlineStr">
        <is>
          <t>적정 시가총액</t>
        </is>
      </c>
      <c r="C5" s="2" t="n">
        <v>5</v>
      </c>
      <c r="D5" s="28" t="inlineStr">
        <is>
          <t>ev_value - net_debt</t>
        </is>
      </c>
      <c r="E5" s="11" t="inlineStr">
        <is>
          <t>'=(I6-I31)</t>
        </is>
      </c>
    </row>
    <row r="6">
      <c r="A6" s="2" t="inlineStr">
        <is>
          <t>ev_value</t>
        </is>
      </c>
      <c r="B6" s="5" t="inlineStr">
        <is>
          <t>사업가치 (EV)</t>
        </is>
      </c>
      <c r="C6" s="2" t="n">
        <v>6</v>
      </c>
      <c r="D6" s="28" t="inlineStr">
        <is>
          <t>ebitda * target_ev_ebitda</t>
        </is>
      </c>
      <c r="E6" s="11" t="inlineStr">
        <is>
          <t>'=(I8*I7)</t>
        </is>
      </c>
    </row>
    <row r="7">
      <c r="A7" s="2" t="inlineStr">
        <is>
          <t>ebitda</t>
        </is>
      </c>
      <c r="B7" s="5" t="inlineStr">
        <is>
          <t>EBITDA</t>
        </is>
      </c>
      <c r="C7" s="2" t="n">
        <v>8</v>
      </c>
      <c r="D7" s="28" t="inlineStr">
        <is>
          <t>op_profit + dep_total</t>
        </is>
      </c>
      <c r="E7" s="11" t="inlineStr">
        <is>
          <t>'=(I9+I22)</t>
        </is>
      </c>
    </row>
    <row r="8">
      <c r="A8" s="2" t="inlineStr">
        <is>
          <t>op_profit</t>
        </is>
      </c>
      <c r="B8" s="5" t="inlineStr">
        <is>
          <t>영업이익</t>
        </is>
      </c>
      <c r="C8" s="2" t="n">
        <v>9</v>
      </c>
      <c r="D8" s="28" t="inlineStr">
        <is>
          <t>revenue - total_cost</t>
        </is>
      </c>
      <c r="E8" s="11" t="inlineStr">
        <is>
          <t>'=(I28-I21)</t>
        </is>
      </c>
    </row>
    <row r="9">
      <c r="A9" s="2" t="inlineStr">
        <is>
          <t>net_income</t>
        </is>
      </c>
      <c r="B9" s="5" t="inlineStr">
        <is>
          <t>지배주주 순이익 (참고)</t>
        </is>
      </c>
      <c r="C9" s="2" t="n">
        <v>10</v>
      </c>
      <c r="D9" s="28" t="inlineStr">
        <is>
          <t>IF(ni_hist &gt; 0, ni_actual, (op_profit + nonop) * (1 - tax_rate) * ctrl_ratio)</t>
        </is>
      </c>
      <c r="E9" s="11" t="inlineStr">
        <is>
          <t>'=IF((I11&gt;0),I12,(((I9+I13)*(1-I14))*I15))</t>
        </is>
      </c>
    </row>
    <row r="10">
      <c r="A10" s="2" t="inlineStr">
        <is>
          <t>eps</t>
        </is>
      </c>
      <c r="B10" s="5" t="inlineStr">
        <is>
          <t>EPS (참고)</t>
        </is>
      </c>
      <c r="C10" s="2" t="n">
        <v>16</v>
      </c>
      <c r="D10" s="28" t="inlineStr">
        <is>
          <t>net_income / shares * 100</t>
        </is>
      </c>
      <c r="E10" s="11" t="inlineStr">
        <is>
          <t>'=((I10/I17)*100)</t>
        </is>
      </c>
    </row>
    <row r="11">
      <c r="A11" s="2" t="inlineStr">
        <is>
          <t>dps</t>
        </is>
      </c>
      <c r="B11" s="5" t="inlineStr">
        <is>
          <t>DPS (참고)</t>
        </is>
      </c>
      <c r="C11" s="2" t="n">
        <v>18</v>
      </c>
      <c r="D11" s="28" t="inlineStr">
        <is>
          <t>IF(ni_hist &gt; 0, dps_a, eps * payout)</t>
        </is>
      </c>
      <c r="E11" s="11" t="inlineStr">
        <is>
          <t>'=IF((I11&gt;0),I19,(I16*I20))</t>
        </is>
      </c>
    </row>
    <row r="12">
      <c r="A12" s="2" t="inlineStr">
        <is>
          <t>total_cost</t>
        </is>
      </c>
      <c r="B12" s="5" t="inlineStr">
        <is>
          <t>총비용</t>
        </is>
      </c>
      <c r="C12" s="2" t="n">
        <v>21</v>
      </c>
      <c r="D12" s="28" t="inlineStr">
        <is>
          <t>dep_total + other_cost</t>
        </is>
      </c>
      <c r="E12" s="11" t="inlineStr">
        <is>
          <t>'=(I22+I25)</t>
        </is>
      </c>
    </row>
    <row r="13">
      <c r="A13" s="2" t="inlineStr">
        <is>
          <t>dep_total</t>
        </is>
      </c>
      <c r="B13" s="5" t="inlineStr">
        <is>
          <t>감가상각비</t>
        </is>
      </c>
      <c r="C13" s="2" t="n">
        <v>22</v>
      </c>
      <c r="D13" s="28" t="inlineStr">
        <is>
          <t>IF(dep_actual &gt; 0, dep_actual, PREV(dep_total) * (1 + dep_g))</t>
        </is>
      </c>
      <c r="E13" s="11" t="inlineStr">
        <is>
          <t>'=IF((I23&gt;0),I23,(H22*(1+I24)))</t>
        </is>
      </c>
    </row>
    <row r="14">
      <c r="A14" s="2" t="inlineStr">
        <is>
          <t>other_cost</t>
        </is>
      </c>
      <c r="B14" s="5" t="inlineStr">
        <is>
          <t>기타비용</t>
        </is>
      </c>
      <c r="C14" s="2" t="n">
        <v>25</v>
      </c>
      <c r="D14" s="28" t="inlineStr">
        <is>
          <t>IF(other_actual &gt; 0, other_actual, revenue * other_ratio)</t>
        </is>
      </c>
      <c r="E14" s="11" t="inlineStr">
        <is>
          <t>'=IF((I26&gt;0),I26,(I28*I27))</t>
        </is>
      </c>
    </row>
    <row r="15">
      <c r="A15" s="2" t="inlineStr">
        <is>
          <t>revenue</t>
        </is>
      </c>
      <c r="B15" s="5" t="inlineStr">
        <is>
          <t>매출</t>
        </is>
      </c>
      <c r="C15" s="2" t="n">
        <v>28</v>
      </c>
      <c r="D15" s="28" t="inlineStr">
        <is>
          <t>IF(rev_actual &gt; 0, rev_actual, PREV(revenue) * (1 + rev_g))</t>
        </is>
      </c>
      <c r="E15" s="11" t="inlineStr">
        <is>
          <t>'=IF((I29&gt;0),I29,(H28*(1+I30)))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" customWidth="1" min="3" max="3"/>
    <col width="12" customWidth="1" min="4" max="4"/>
    <col width="9" customWidth="1" min="5" max="5"/>
    <col width="7" customWidth="1" min="6" max="6"/>
    <col width="12" customWidth="1" min="7" max="7"/>
  </cols>
  <sheetData>
    <row r="1">
      <c r="A1" s="1" t="inlineStr">
        <is>
          <t>트리 구조</t>
        </is>
      </c>
    </row>
    <row r="3">
      <c r="A3" s="3" t="inlineStr">
        <is>
          <t>노드 id</t>
        </is>
      </c>
      <c r="B3" s="3" t="inlineStr">
        <is>
          <t>계정</t>
        </is>
      </c>
      <c r="C3" s="3" t="inlineStr">
        <is>
          <t>깊이</t>
        </is>
      </c>
      <c r="D3" s="3" t="inlineStr">
        <is>
          <t>유형</t>
        </is>
      </c>
      <c r="E3" s="3" t="inlineStr">
        <is>
          <t>합계형</t>
        </is>
      </c>
      <c r="F3" s="3" t="inlineStr">
        <is>
          <t>행</t>
        </is>
      </c>
      <c r="G3" s="3" t="inlineStr">
        <is>
          <t>단위</t>
        </is>
      </c>
    </row>
    <row r="4">
      <c r="A4" s="2" t="inlineStr">
        <is>
          <t>root</t>
        </is>
      </c>
      <c r="B4" t="inlineStr">
        <is>
          <t>적정 시가총액</t>
        </is>
      </c>
      <c r="C4" t="n">
        <v>0</v>
      </c>
      <c r="D4" t="inlineStr">
        <is>
          <t>computed</t>
        </is>
      </c>
      <c r="E4" t="inlineStr"/>
      <c r="F4" t="n">
        <v>5</v>
      </c>
      <c r="G4" t="inlineStr">
        <is>
          <t>억원</t>
        </is>
      </c>
    </row>
    <row r="5">
      <c r="A5" s="2" t="inlineStr">
        <is>
          <t>ev_value</t>
        </is>
      </c>
      <c r="B5" s="29" t="inlineStr">
        <is>
          <t>사업가치 (EV)</t>
        </is>
      </c>
      <c r="C5" t="n">
        <v>1</v>
      </c>
      <c r="D5" t="inlineStr">
        <is>
          <t>computed</t>
        </is>
      </c>
      <c r="E5" t="inlineStr"/>
      <c r="F5" t="n">
        <v>6</v>
      </c>
      <c r="G5" t="inlineStr">
        <is>
          <t>억원</t>
        </is>
      </c>
    </row>
    <row r="6">
      <c r="A6" s="2" t="inlineStr">
        <is>
          <t>target_ev_ebitda</t>
        </is>
      </c>
      <c r="B6" s="30" t="inlineStr">
        <is>
          <t>목표 EV/EBITDA</t>
        </is>
      </c>
      <c r="C6" t="n">
        <v>2</v>
      </c>
      <c r="D6" t="inlineStr">
        <is>
          <t>input</t>
        </is>
      </c>
      <c r="E6" t="inlineStr"/>
      <c r="F6" t="n">
        <v>7</v>
      </c>
      <c r="G6" t="inlineStr">
        <is>
          <t>배</t>
        </is>
      </c>
    </row>
    <row r="7">
      <c r="A7" s="2" t="inlineStr">
        <is>
          <t>ebitda</t>
        </is>
      </c>
      <c r="B7" s="30" t="inlineStr">
        <is>
          <t>EBITDA</t>
        </is>
      </c>
      <c r="C7" t="n">
        <v>2</v>
      </c>
      <c r="D7" t="inlineStr">
        <is>
          <t>computed</t>
        </is>
      </c>
      <c r="E7" t="inlineStr"/>
      <c r="F7" t="n">
        <v>8</v>
      </c>
      <c r="G7" t="inlineStr">
        <is>
          <t>억원</t>
        </is>
      </c>
    </row>
    <row r="8">
      <c r="A8" s="2" t="inlineStr">
        <is>
          <t>op_profit</t>
        </is>
      </c>
      <c r="B8" s="31" t="inlineStr">
        <is>
          <t>영업이익</t>
        </is>
      </c>
      <c r="C8" t="n">
        <v>3</v>
      </c>
      <c r="D8" t="inlineStr">
        <is>
          <t>computed</t>
        </is>
      </c>
      <c r="E8" t="inlineStr"/>
      <c r="F8" t="n">
        <v>9</v>
      </c>
      <c r="G8" t="inlineStr">
        <is>
          <t>억원</t>
        </is>
      </c>
    </row>
    <row r="9">
      <c r="A9" s="2" t="inlineStr">
        <is>
          <t>net_income</t>
        </is>
      </c>
      <c r="B9" s="32" t="inlineStr">
        <is>
          <t>지배주주 순이익 (참고)</t>
        </is>
      </c>
      <c r="C9" t="n">
        <v>4</v>
      </c>
      <c r="D9" t="inlineStr">
        <is>
          <t>computed</t>
        </is>
      </c>
      <c r="E9" t="inlineStr"/>
      <c r="F9" t="n">
        <v>10</v>
      </c>
      <c r="G9" t="inlineStr">
        <is>
          <t>억원</t>
        </is>
      </c>
    </row>
    <row r="10">
      <c r="A10" s="2" t="inlineStr">
        <is>
          <t>ni_hist</t>
        </is>
      </c>
      <c r="B10" s="33" t="inlineStr">
        <is>
          <t>순이익 실적 마스크</t>
        </is>
      </c>
      <c r="C10" t="n">
        <v>5</v>
      </c>
      <c r="D10" t="inlineStr">
        <is>
          <t>input</t>
        </is>
      </c>
      <c r="E10" t="inlineStr"/>
      <c r="F10" t="n">
        <v>11</v>
      </c>
      <c r="G10" t="inlineStr"/>
    </row>
    <row r="11">
      <c r="A11" s="2" t="inlineStr">
        <is>
          <t>ni_actual</t>
        </is>
      </c>
      <c r="B11" s="33" t="inlineStr">
        <is>
          <t>순이익 실적</t>
        </is>
      </c>
      <c r="C11" t="n">
        <v>5</v>
      </c>
      <c r="D11" t="inlineStr">
        <is>
          <t>input</t>
        </is>
      </c>
      <c r="E11" t="inlineStr"/>
      <c r="F11" t="n">
        <v>12</v>
      </c>
      <c r="G11" t="inlineStr">
        <is>
          <t>억원</t>
        </is>
      </c>
    </row>
    <row r="12">
      <c r="A12" s="2" t="inlineStr">
        <is>
          <t>nonop</t>
        </is>
      </c>
      <c r="B12" s="33" t="inlineStr">
        <is>
          <t>영업외손익</t>
        </is>
      </c>
      <c r="C12" t="n">
        <v>5</v>
      </c>
      <c r="D12" t="inlineStr">
        <is>
          <t>input</t>
        </is>
      </c>
      <c r="E12" t="inlineStr"/>
      <c r="F12" t="n">
        <v>13</v>
      </c>
      <c r="G12" t="inlineStr">
        <is>
          <t>억원</t>
        </is>
      </c>
    </row>
    <row r="13">
      <c r="A13" s="2" t="inlineStr">
        <is>
          <t>tax_rate</t>
        </is>
      </c>
      <c r="B13" s="33" t="inlineStr">
        <is>
          <t>실효세율</t>
        </is>
      </c>
      <c r="C13" t="n">
        <v>5</v>
      </c>
      <c r="D13" t="inlineStr">
        <is>
          <t>input</t>
        </is>
      </c>
      <c r="E13" t="inlineStr"/>
      <c r="F13" t="n">
        <v>14</v>
      </c>
      <c r="G13" t="inlineStr">
        <is>
          <t>%</t>
        </is>
      </c>
    </row>
    <row r="14">
      <c r="A14" s="2" t="inlineStr">
        <is>
          <t>ctrl_ratio</t>
        </is>
      </c>
      <c r="B14" s="33" t="inlineStr">
        <is>
          <t>지배지분 비율</t>
        </is>
      </c>
      <c r="C14" t="n">
        <v>5</v>
      </c>
      <c r="D14" t="inlineStr">
        <is>
          <t>input</t>
        </is>
      </c>
      <c r="E14" t="inlineStr"/>
      <c r="F14" t="n">
        <v>15</v>
      </c>
      <c r="G14" t="inlineStr">
        <is>
          <t>%</t>
        </is>
      </c>
    </row>
    <row r="15">
      <c r="A15" s="2" t="inlineStr">
        <is>
          <t>eps</t>
        </is>
      </c>
      <c r="B15" s="33" t="inlineStr">
        <is>
          <t>EPS (참고)</t>
        </is>
      </c>
      <c r="C15" t="n">
        <v>5</v>
      </c>
      <c r="D15" t="inlineStr">
        <is>
          <t>computed</t>
        </is>
      </c>
      <c r="E15" t="inlineStr"/>
      <c r="F15" t="n">
        <v>16</v>
      </c>
      <c r="G15" t="inlineStr">
        <is>
          <t>원</t>
        </is>
      </c>
    </row>
    <row r="16">
      <c r="A16" s="2" t="inlineStr">
        <is>
          <t>shares</t>
        </is>
      </c>
      <c r="B16" s="34" t="inlineStr">
        <is>
          <t>상장주식수</t>
        </is>
      </c>
      <c r="C16" t="n">
        <v>6</v>
      </c>
      <c r="D16" t="inlineStr">
        <is>
          <t>input</t>
        </is>
      </c>
      <c r="E16" t="inlineStr"/>
      <c r="F16" t="n">
        <v>17</v>
      </c>
      <c r="G16" t="inlineStr">
        <is>
          <t>백만주</t>
        </is>
      </c>
    </row>
    <row r="17">
      <c r="A17" s="2" t="inlineStr">
        <is>
          <t>dps</t>
        </is>
      </c>
      <c r="B17" s="34" t="inlineStr">
        <is>
          <t>DPS (참고)</t>
        </is>
      </c>
      <c r="C17" t="n">
        <v>6</v>
      </c>
      <c r="D17" t="inlineStr">
        <is>
          <t>computed</t>
        </is>
      </c>
      <c r="E17" t="inlineStr"/>
      <c r="F17" t="n">
        <v>18</v>
      </c>
      <c r="G17" t="inlineStr">
        <is>
          <t>원</t>
        </is>
      </c>
    </row>
    <row r="18">
      <c r="A18" s="2" t="inlineStr">
        <is>
          <t>dps_a</t>
        </is>
      </c>
      <c r="B18" s="35" t="inlineStr">
        <is>
          <t>DPS 실적</t>
        </is>
      </c>
      <c r="C18" t="n">
        <v>7</v>
      </c>
      <c r="D18" t="inlineStr">
        <is>
          <t>input</t>
        </is>
      </c>
      <c r="E18" t="inlineStr"/>
      <c r="F18" t="n">
        <v>19</v>
      </c>
      <c r="G18" t="inlineStr">
        <is>
          <t>원</t>
        </is>
      </c>
    </row>
    <row r="19">
      <c r="A19" s="2" t="inlineStr">
        <is>
          <t>payout</t>
        </is>
      </c>
      <c r="B19" s="35" t="inlineStr">
        <is>
          <t>배당성향</t>
        </is>
      </c>
      <c r="C19" t="n">
        <v>7</v>
      </c>
      <c r="D19" t="inlineStr">
        <is>
          <t>input</t>
        </is>
      </c>
      <c r="E19" t="inlineStr"/>
      <c r="F19" t="n">
        <v>20</v>
      </c>
      <c r="G19" t="inlineStr">
        <is>
          <t>%</t>
        </is>
      </c>
    </row>
    <row r="20">
      <c r="A20" s="2" t="inlineStr">
        <is>
          <t>total_cost</t>
        </is>
      </c>
      <c r="B20" s="32" t="inlineStr">
        <is>
          <t>총비용</t>
        </is>
      </c>
      <c r="C20" t="n">
        <v>4</v>
      </c>
      <c r="D20" t="inlineStr">
        <is>
          <t>computed</t>
        </is>
      </c>
      <c r="E20" t="inlineStr">
        <is>
          <t>Y</t>
        </is>
      </c>
      <c r="F20" t="n">
        <v>21</v>
      </c>
      <c r="G20" t="inlineStr">
        <is>
          <t>억원</t>
        </is>
      </c>
    </row>
    <row r="21">
      <c r="A21" s="2" t="inlineStr">
        <is>
          <t>dep_total</t>
        </is>
      </c>
      <c r="B21" s="33" t="inlineStr">
        <is>
          <t>감가상각비</t>
        </is>
      </c>
      <c r="C21" t="n">
        <v>5</v>
      </c>
      <c r="D21" t="inlineStr">
        <is>
          <t>computed</t>
        </is>
      </c>
      <c r="E21" t="inlineStr"/>
      <c r="F21" t="n">
        <v>22</v>
      </c>
      <c r="G21" t="inlineStr">
        <is>
          <t>억원</t>
        </is>
      </c>
    </row>
    <row r="22">
      <c r="A22" s="2" t="inlineStr">
        <is>
          <t>dep_actual</t>
        </is>
      </c>
      <c r="B22" s="34" t="inlineStr">
        <is>
          <t>감가상각 실적</t>
        </is>
      </c>
      <c r="C22" t="n">
        <v>6</v>
      </c>
      <c r="D22" t="inlineStr">
        <is>
          <t>input</t>
        </is>
      </c>
      <c r="E22" t="inlineStr"/>
      <c r="F22" t="n">
        <v>23</v>
      </c>
      <c r="G22" t="inlineStr">
        <is>
          <t>억원</t>
        </is>
      </c>
    </row>
    <row r="23">
      <c r="A23" s="2" t="inlineStr">
        <is>
          <t>dep_g</t>
        </is>
      </c>
      <c r="B23" s="34" t="inlineStr">
        <is>
          <t>감가상각 증가율</t>
        </is>
      </c>
      <c r="C23" t="n">
        <v>6</v>
      </c>
      <c r="D23" t="inlineStr">
        <is>
          <t>input</t>
        </is>
      </c>
      <c r="E23" t="inlineStr"/>
      <c r="F23" t="n">
        <v>24</v>
      </c>
      <c r="G23" t="inlineStr">
        <is>
          <t>%</t>
        </is>
      </c>
    </row>
    <row r="24">
      <c r="A24" s="2" t="inlineStr">
        <is>
          <t>other_cost</t>
        </is>
      </c>
      <c r="B24" s="33" t="inlineStr">
        <is>
          <t>기타비용</t>
        </is>
      </c>
      <c r="C24" t="n">
        <v>5</v>
      </c>
      <c r="D24" t="inlineStr">
        <is>
          <t>computed</t>
        </is>
      </c>
      <c r="E24" t="inlineStr"/>
      <c r="F24" t="n">
        <v>25</v>
      </c>
      <c r="G24" t="inlineStr">
        <is>
          <t>억원</t>
        </is>
      </c>
    </row>
    <row r="25">
      <c r="A25" s="2" t="inlineStr">
        <is>
          <t>other_actual</t>
        </is>
      </c>
      <c r="B25" s="34" t="inlineStr">
        <is>
          <t>기타비용 실적</t>
        </is>
      </c>
      <c r="C25" t="n">
        <v>6</v>
      </c>
      <c r="D25" t="inlineStr">
        <is>
          <t>input</t>
        </is>
      </c>
      <c r="E25" t="inlineStr"/>
      <c r="F25" t="n">
        <v>26</v>
      </c>
      <c r="G25" t="inlineStr">
        <is>
          <t>억원</t>
        </is>
      </c>
    </row>
    <row r="26">
      <c r="A26" s="2" t="inlineStr">
        <is>
          <t>other_ratio</t>
        </is>
      </c>
      <c r="B26" s="34" t="inlineStr">
        <is>
          <t>기타비용률</t>
        </is>
      </c>
      <c r="C26" t="n">
        <v>6</v>
      </c>
      <c r="D26" t="inlineStr">
        <is>
          <t>input</t>
        </is>
      </c>
      <c r="E26" t="inlineStr"/>
      <c r="F26" t="n">
        <v>27</v>
      </c>
      <c r="G26" t="inlineStr">
        <is>
          <t>%</t>
        </is>
      </c>
    </row>
    <row r="27">
      <c r="A27" s="2" t="inlineStr">
        <is>
          <t>revenue</t>
        </is>
      </c>
      <c r="B27" s="32" t="inlineStr">
        <is>
          <t>매출</t>
        </is>
      </c>
      <c r="C27" t="n">
        <v>4</v>
      </c>
      <c r="D27" t="inlineStr">
        <is>
          <t>computed</t>
        </is>
      </c>
      <c r="E27" t="inlineStr"/>
      <c r="F27" t="n">
        <v>28</v>
      </c>
      <c r="G27" t="inlineStr">
        <is>
          <t>억원</t>
        </is>
      </c>
    </row>
    <row r="28">
      <c r="A28" s="2" t="inlineStr">
        <is>
          <t>rev_actual</t>
        </is>
      </c>
      <c r="B28" s="33" t="inlineStr">
        <is>
          <t>매출 실적</t>
        </is>
      </c>
      <c r="C28" t="n">
        <v>5</v>
      </c>
      <c r="D28" t="inlineStr">
        <is>
          <t>input</t>
        </is>
      </c>
      <c r="E28" t="inlineStr"/>
      <c r="F28" t="n">
        <v>29</v>
      </c>
      <c r="G28" t="inlineStr">
        <is>
          <t>억원</t>
        </is>
      </c>
    </row>
    <row r="29">
      <c r="A29" s="2" t="inlineStr">
        <is>
          <t>rev_g</t>
        </is>
      </c>
      <c r="B29" s="33" t="inlineStr">
        <is>
          <t>매출 성장률</t>
        </is>
      </c>
      <c r="C29" t="n">
        <v>5</v>
      </c>
      <c r="D29" t="inlineStr">
        <is>
          <t>input</t>
        </is>
      </c>
      <c r="E29" t="inlineStr"/>
      <c r="F29" t="n">
        <v>30</v>
      </c>
      <c r="G29" t="inlineStr">
        <is>
          <t>%</t>
        </is>
      </c>
    </row>
    <row r="30">
      <c r="A30" s="2" t="inlineStr">
        <is>
          <t>net_debt</t>
        </is>
      </c>
      <c r="B30" s="29" t="inlineStr">
        <is>
          <t>순차입금</t>
        </is>
      </c>
      <c r="C30" t="n">
        <v>1</v>
      </c>
      <c r="D30" t="inlineStr">
        <is>
          <t>input</t>
        </is>
      </c>
      <c r="E30" t="inlineStr"/>
      <c r="F30" t="n">
        <v>31</v>
      </c>
      <c r="G30" t="inlineStr">
        <is>
          <t>억원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검증</t>
        </is>
      </c>
    </row>
    <row r="2">
      <c r="A2" s="2" t="inlineStr">
        <is>
          <t>합계형 노드의 부모값과 자식 합의 차이. 전 칸이 0이어야 한다.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검사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5" t="inlineStr">
        <is>
          <t>총비용</t>
        </is>
      </c>
      <c r="B5" s="2" t="inlineStr">
        <is>
          <t>부모 − 자식합</t>
        </is>
      </c>
      <c r="D5" s="36">
        <f>ROUND(Model!D21-(Model!D22+Model!D25),6)</f>
        <v/>
      </c>
      <c r="E5" s="36">
        <f>ROUND(Model!E21-(Model!E22+Model!E25),6)</f>
        <v/>
      </c>
      <c r="F5" s="36">
        <f>ROUND(Model!F21-(Model!F22+Model!F25),6)</f>
        <v/>
      </c>
      <c r="G5" s="36">
        <f>ROUND(Model!G21-(Model!G22+Model!G25),6)</f>
        <v/>
      </c>
      <c r="H5" s="36">
        <f>ROUND(Model!H21-(Model!H22+Model!H25),6)</f>
        <v/>
      </c>
      <c r="I5" s="36">
        <f>ROUND(Model!I21-(Model!I22+Model!I25),6)</f>
        <v/>
      </c>
      <c r="J5" s="36">
        <f>ROUND(Model!J21-(Model!J22+Model!J25),6)</f>
        <v/>
      </c>
      <c r="K5" s="36">
        <f>ROUND(Model!K21-(Model!K22+Model!K25),6)</f>
        <v/>
      </c>
      <c r="L5" s="36">
        <f>ROUND(Model!L21-(Model!L22+Model!L25),6)</f>
        <v/>
      </c>
      <c r="M5" s="36">
        <f>ROUND(Model!M21-(Model!M22+Model!M25),6)</f>
        <v/>
      </c>
    </row>
    <row r="7">
      <c r="A7" s="4" t="inlineStr">
        <is>
          <t>합계형 노드 수</t>
        </is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빌드 정보</t>
        </is>
      </c>
    </row>
    <row r="3">
      <c r="A3" s="4" t="inlineStr">
        <is>
          <t>소스</t>
        </is>
      </c>
      <c r="B3" t="inlineStr">
        <is>
          <t>model.html</t>
        </is>
      </c>
    </row>
    <row r="4">
      <c r="A4" s="4" t="inlineStr">
        <is>
          <t>소스 해시 (sha256 앞 16자리)</t>
        </is>
      </c>
      <c r="B4" t="inlineStr">
        <is>
          <t>2a3da87c288d67de</t>
        </is>
      </c>
    </row>
    <row r="5">
      <c r="A5" s="4" t="inlineStr">
        <is>
          <t>빌더</t>
        </is>
      </c>
      <c r="B5" t="inlineStr">
        <is>
          <t>tools/build_excel.py</t>
        </is>
      </c>
    </row>
    <row r="6">
      <c r="A6" s="4" t="inlineStr">
        <is>
          <t>수식 변환</t>
        </is>
      </c>
      <c r="B6" t="inlineStr">
        <is>
          <t>엔진 astToExcel (JS) — 파이썬은 배치만 한다</t>
        </is>
      </c>
    </row>
    <row r="7">
      <c r="A7" s="4" t="inlineStr">
        <is>
          <t>노드 수</t>
        </is>
      </c>
      <c r="B7" t="n">
        <v>27</v>
      </c>
    </row>
    <row r="8">
      <c r="A8" s="4" t="inlineStr">
        <is>
          <t>입력 노드 수</t>
        </is>
      </c>
      <c r="B8" t="n">
        <v>16</v>
      </c>
    </row>
    <row r="9">
      <c r="A9" s="4" t="inlineStr">
        <is>
          <t>연도 수</t>
        </is>
      </c>
      <c r="B9" t="n">
        <v>10</v>
      </c>
    </row>
    <row r="10">
      <c r="A10" s="4" t="inlineStr">
        <is>
          <t>HIST_N</t>
        </is>
      </c>
      <c r="B10" t="n">
        <v>5</v>
      </c>
    </row>
    <row r="11">
      <c r="A11" s="4" t="inlineStr">
        <is>
          <t>모델 id</t>
        </is>
      </c>
      <c r="B11" t="inlineStr">
        <is>
          <t>lgd_turnaround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tools/build_excel.py</dc:creator>
  <dcterms:created xsi:type="dcterms:W3CDTF">2000-01-01T00:00:00Z</dcterms:created>
  <dcterms:modified xsi:type="dcterms:W3CDTF">2000-01-01T00:00:00Z</dcterms:modified>
</cp:coreProperties>
</file>
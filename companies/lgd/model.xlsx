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11861.82</v>
      </c>
      <c r="E7" s="9" t="n">
        <v>-30715.65</v>
      </c>
      <c r="F7" s="9" t="n">
        <v>-27337.42</v>
      </c>
      <c r="G7" s="9" t="n">
        <v>-25626.06</v>
      </c>
      <c r="H7" s="9" t="n">
        <v>2263.12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-5117.23</v>
      </c>
      <c r="E8" s="9" t="n">
        <v>-13483.23</v>
      </c>
      <c r="F8" s="9" t="n">
        <v>-8292.77</v>
      </c>
      <c r="G8" s="9" t="n">
        <v>-16309.44</v>
      </c>
      <c r="H8" s="9" t="n">
        <v>-152.88</v>
      </c>
      <c r="I8" s="10" t="n">
        <v>-300</v>
      </c>
      <c r="J8" s="10" t="n">
        <v>-300</v>
      </c>
      <c r="K8" s="10" t="n">
        <v>-300</v>
      </c>
      <c r="L8" s="10" t="n">
        <v>-300</v>
      </c>
      <c r="M8" s="10" t="n">
        <v>-300</v>
      </c>
      <c r="N8" s="11" t="inlineStr">
        <is>
          <t>[주관 추정 · 실적은 공시값] 영업외손익 = 세전이익 − 영업이익. 실적 −5,117/−13,483/−8,293/−16,309/−153억 — 손상차손이 지배해 과거는 예측 불가. 2025(−153억)를 바닥으로 이자 부담을 감안해 **−300억 고정**. 손상 재발은 Bear의 영역.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0.25</v>
      </c>
      <c r="J9" s="13" t="n">
        <v>0.25</v>
      </c>
      <c r="K9" s="13" t="n">
        <v>0.25</v>
      </c>
      <c r="L9" s="13" t="n">
        <v>0.25</v>
      </c>
      <c r="M9" s="13" t="n">
        <v>0.25</v>
      </c>
      <c r="N9" s="11" t="inlineStr">
        <is>
          <t>[주관] 실효세율. 2025 실효 39.4%는 이연법인세 영향 — 정상화 25% 가정.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0.75</v>
      </c>
      <c r="J10" s="13" t="n">
        <v>0.75</v>
      </c>
      <c r="K10" s="13" t="n">
        <v>0.75</v>
      </c>
      <c r="L10" s="13" t="n">
        <v>0.75</v>
      </c>
      <c r="M10" s="13" t="n">
        <v>0.75</v>
      </c>
      <c r="N10" s="11" t="inlineStr">
        <is>
          <t>[주관] 지배지분 비율. 2025 지배 74.5%(광저우 등 비지배 흑자) — **회복 이익의 1/4은 주주 몫이 아니다**. 75%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500</v>
      </c>
      <c r="E11" s="9" t="n">
        <v>500</v>
      </c>
      <c r="F11" s="9" t="n">
        <v>500</v>
      </c>
      <c r="G11" s="9" t="n">
        <v>500</v>
      </c>
      <c r="H11" s="9" t="n">
        <v>500</v>
      </c>
      <c r="I11" s="10" t="n">
        <v>500</v>
      </c>
      <c r="J11" s="10" t="n">
        <v>500</v>
      </c>
      <c r="K11" s="10" t="n">
        <v>500</v>
      </c>
      <c r="L11" s="10" t="n">
        <v>500</v>
      </c>
      <c r="M11" s="10" t="n">
        <v>500</v>
      </c>
      <c r="N11" s="11" t="inlineStr">
        <is>
          <t>[객관] 상장주식수 5.0억주(2024 유상증자 반영) 고정.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650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현금배당. 2021 650원 이후 무배당.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배당성향 0% — 순차입금 상환이 우선이라 **배당 재개를 가정하지 않는다**. 재개 시나리오는 이 슬라이더로 본다.</t>
        </is>
      </c>
    </row>
    <row r="14">
      <c r="A14" s="5" t="inlineStr">
        <is>
          <t>감가상각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45007.01</v>
      </c>
      <c r="E14" s="9" t="n">
        <v>45574.57</v>
      </c>
      <c r="F14" s="9" t="n">
        <v>42137.42</v>
      </c>
      <c r="G14" s="9" t="n">
        <v>51256.37</v>
      </c>
      <c r="H14" s="9" t="n">
        <v>43541.45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비용의 성격별 분류 주석.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-0.12</v>
      </c>
      <c r="J15" s="13" t="n">
        <v>-0.1</v>
      </c>
      <c r="K15" s="13" t="n">
        <v>-0.08</v>
      </c>
      <c r="L15" s="13" t="n">
        <v>-0.05</v>
      </c>
      <c r="M15" s="13" t="n">
        <v>-0.03</v>
      </c>
      <c r="N15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231467.34</v>
      </c>
      <c r="E16" s="9" t="n">
        <v>236793.71</v>
      </c>
      <c r="F16" s="9" t="n">
        <v>196272.41</v>
      </c>
      <c r="G16" s="9" t="n">
        <v>220503.06</v>
      </c>
      <c r="H16" s="9" t="n">
        <v>209389.6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0.8100000000000001</v>
      </c>
      <c r="J17" s="13" t="n">
        <v>0.8080000000000001</v>
      </c>
      <c r="K17" s="13" t="n">
        <v>0.806</v>
      </c>
      <c r="L17" s="13" t="n">
        <v>0.805</v>
      </c>
      <c r="M17" s="13" t="n">
        <v>0.804</v>
      </c>
      <c r="N17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8">
      <c r="A18" s="5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9" t="n">
        <v>298780.43</v>
      </c>
      <c r="E18" s="9" t="n">
        <v>261517.81</v>
      </c>
      <c r="F18" s="9" t="n">
        <v>213308.19</v>
      </c>
      <c r="G18" s="9" t="n">
        <v>266153.47</v>
      </c>
      <c r="H18" s="9" t="n">
        <v>258100.82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요약연결재무정보.</t>
        </is>
      </c>
    </row>
    <row r="19">
      <c r="A19" s="5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-0.01</v>
      </c>
      <c r="J19" s="13" t="n">
        <v>0.01</v>
      </c>
      <c r="K19" s="13" t="n">
        <v>0.01</v>
      </c>
      <c r="L19" s="13" t="n">
        <v>0.01</v>
      </c>
      <c r="M19" s="13" t="n">
        <v>0.01</v>
      </c>
      <c r="N19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20">
      <c r="A20" s="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9" t="n">
        <v>91222.09</v>
      </c>
      <c r="E20" s="9" t="n">
        <v>131667.61</v>
      </c>
      <c r="F20" s="9" t="n">
        <v>142716.07</v>
      </c>
      <c r="G20" s="9" t="n">
        <v>125284.74</v>
      </c>
      <c r="H20" s="9" t="n">
        <v>110920.8</v>
      </c>
      <c r="I20" s="10" t="n">
        <v>110920.8</v>
      </c>
      <c r="J20" s="10" t="n">
        <v>110920.8</v>
      </c>
      <c r="K20" s="10" t="n">
        <v>110920.8</v>
      </c>
      <c r="L20" s="10" t="n">
        <v>110920.8</v>
      </c>
      <c r="M20" s="10" t="n">
        <v>110920.8</v>
      </c>
      <c r="N20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(D6-D31)</f>
        <v/>
      </c>
      <c r="E5" s="14">
        <f>(E6-E31)</f>
        <v/>
      </c>
      <c r="F5" s="14">
        <f>(F6-F31)</f>
        <v/>
      </c>
      <c r="G5" s="14">
        <f>(G6-G31)</f>
        <v/>
      </c>
      <c r="H5" s="14">
        <f>(H6-H31)</f>
        <v/>
      </c>
      <c r="I5" s="14">
        <f>(I6-I31)</f>
        <v/>
      </c>
      <c r="J5" s="14">
        <f>(J6-J31)</f>
        <v/>
      </c>
      <c r="K5" s="14">
        <f>(K6-K31)</f>
        <v/>
      </c>
      <c r="L5" s="14">
        <f>(L6-L31)</f>
        <v/>
      </c>
      <c r="M5" s="14">
        <f>(M6-M31)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11861.82</v>
      </c>
      <c r="E12" s="19" t="n">
        <v>-30715.65</v>
      </c>
      <c r="F12" s="19" t="n">
        <v>-27337.42</v>
      </c>
      <c r="G12" s="19" t="n">
        <v>-25626.06</v>
      </c>
      <c r="H12" s="19" t="n">
        <v>2263.12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-5117.23</v>
      </c>
      <c r="E13" s="19" t="n">
        <v>-13483.23</v>
      </c>
      <c r="F13" s="19" t="n">
        <v>-8292.77</v>
      </c>
      <c r="G13" s="19" t="n">
        <v>-16309.44</v>
      </c>
      <c r="H13" s="19" t="n">
        <v>-152.88</v>
      </c>
      <c r="I13" s="20" t="n">
        <v>-300</v>
      </c>
      <c r="J13" s="20" t="n">
        <v>-300</v>
      </c>
      <c r="K13" s="20" t="n">
        <v>-300</v>
      </c>
      <c r="L13" s="20" t="n">
        <v>-300</v>
      </c>
      <c r="M13" s="20" t="n">
        <v>-300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0.25</v>
      </c>
      <c r="J14" s="25" t="n">
        <v>0.25</v>
      </c>
      <c r="K14" s="25" t="n">
        <v>0.25</v>
      </c>
      <c r="L14" s="25" t="n">
        <v>0.25</v>
      </c>
      <c r="M14" s="25" t="n">
        <v>0.25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0.75</v>
      </c>
      <c r="J15" s="25" t="n">
        <v>0.75</v>
      </c>
      <c r="K15" s="25" t="n">
        <v>0.75</v>
      </c>
      <c r="L15" s="25" t="n">
        <v>0.75</v>
      </c>
      <c r="M15" s="25" t="n">
        <v>0.75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500</v>
      </c>
      <c r="E17" s="19" t="n">
        <v>500</v>
      </c>
      <c r="F17" s="19" t="n">
        <v>500</v>
      </c>
      <c r="G17" s="19" t="n">
        <v>500</v>
      </c>
      <c r="H17" s="19" t="n">
        <v>500</v>
      </c>
      <c r="I17" s="20" t="n">
        <v>500</v>
      </c>
      <c r="J17" s="20" t="n">
        <v>500</v>
      </c>
      <c r="K17" s="20" t="n">
        <v>500</v>
      </c>
      <c r="L17" s="20" t="n">
        <v>500</v>
      </c>
      <c r="M17" s="20" t="n">
        <v>500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650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45007.01</v>
      </c>
      <c r="E23" s="19" t="n">
        <v>45574.57</v>
      </c>
      <c r="F23" s="19" t="n">
        <v>42137.42</v>
      </c>
      <c r="G23" s="19" t="n">
        <v>51256.37</v>
      </c>
      <c r="H23" s="19" t="n">
        <v>43541.45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-0.12</v>
      </c>
      <c r="J24" s="25" t="n">
        <v>-0.1</v>
      </c>
      <c r="K24" s="25" t="n">
        <v>-0.08</v>
      </c>
      <c r="L24" s="25" t="n">
        <v>-0.05</v>
      </c>
      <c r="M24" s="25" t="n">
        <v>-0.03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231467.34</v>
      </c>
      <c r="E26" s="19" t="n">
        <v>236793.71</v>
      </c>
      <c r="F26" s="19" t="n">
        <v>196272.41</v>
      </c>
      <c r="G26" s="19" t="n">
        <v>220503.06</v>
      </c>
      <c r="H26" s="19" t="n">
        <v>209389.6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0.8100000000000001</v>
      </c>
      <c r="J27" s="25" t="n">
        <v>0.8080000000000001</v>
      </c>
      <c r="K27" s="25" t="n">
        <v>0.806</v>
      </c>
      <c r="L27" s="25" t="n">
        <v>0.805</v>
      </c>
      <c r="M27" s="25" t="n">
        <v>0.804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3" t="inlineStr">
        <is>
          <t>매출 실적</t>
        </is>
      </c>
      <c r="B29" s="2" t="inlineStr">
        <is>
          <t>rev_actual</t>
        </is>
      </c>
      <c r="C29" s="2" t="inlineStr">
        <is>
          <t>억원</t>
        </is>
      </c>
      <c r="D29" s="19" t="n">
        <v>298780.43</v>
      </c>
      <c r="E29" s="19" t="n">
        <v>261517.81</v>
      </c>
      <c r="F29" s="19" t="n">
        <v>213308.19</v>
      </c>
      <c r="G29" s="19" t="n">
        <v>266153.47</v>
      </c>
      <c r="H29" s="19" t="n">
        <v>258100.82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3" t="inlineStr">
        <is>
          <t>매출 성장률</t>
        </is>
      </c>
      <c r="B30" s="2" t="inlineStr">
        <is>
          <t>rev_g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-0.01</v>
      </c>
      <c r="J30" s="25" t="n">
        <v>0.01</v>
      </c>
      <c r="K30" s="25" t="n">
        <v>0.01</v>
      </c>
      <c r="L30" s="25" t="n">
        <v>0.01</v>
      </c>
      <c r="M30" s="25" t="n">
        <v>0.01</v>
      </c>
    </row>
    <row r="31">
      <c r="A31" s="15" t="inlineStr">
        <is>
          <t>순차입금</t>
        </is>
      </c>
      <c r="B31" s="2" t="inlineStr">
        <is>
          <t>net_debt</t>
        </is>
      </c>
      <c r="C31" s="2" t="inlineStr">
        <is>
          <t>억원</t>
        </is>
      </c>
      <c r="D31" s="19" t="n">
        <v>91222.09</v>
      </c>
      <c r="E31" s="19" t="n">
        <v>131667.61</v>
      </c>
      <c r="F31" s="19" t="n">
        <v>142716.07</v>
      </c>
      <c r="G31" s="19" t="n">
        <v>125284.74</v>
      </c>
      <c r="H31" s="19" t="n">
        <v>110920.8</v>
      </c>
      <c r="I31" s="20" t="n">
        <v>110920.8</v>
      </c>
      <c r="J31" s="20" t="n">
        <v>110920.8</v>
      </c>
      <c r="K31" s="20" t="n">
        <v>110920.8</v>
      </c>
      <c r="L31" s="20" t="n">
        <v>110920.8</v>
      </c>
      <c r="M31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'=(I6-I31)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IF(rev_actual &gt; 0, rev_actual, PREV(revenue) * (1 + rev_g))</t>
        </is>
      </c>
      <c r="E15" s="11" t="inlineStr">
        <is>
          <t>'=IF((I29&gt;0),I29,(H28*(1+I30)))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rev_actual</t>
        </is>
      </c>
      <c r="B28" s="33" t="inlineStr">
        <is>
          <t>매출 실적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rev_g</t>
        </is>
      </c>
      <c r="B29" s="33" t="inlineStr">
        <is>
          <t>매출 성장률</t>
        </is>
      </c>
      <c r="C29" t="n">
        <v>5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net_debt</t>
        </is>
      </c>
      <c r="B30" s="29" t="inlineStr">
        <is>
          <t>순차입금</t>
        </is>
      </c>
      <c r="C30" t="n">
        <v>1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09d38fd4efe66d19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27</v>
      </c>
    </row>
    <row r="8">
      <c r="A8" s="4" t="inlineStr">
        <is>
          <t>입력 노드 수</t>
        </is>
      </c>
      <c r="B8" t="n">
        <v>16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
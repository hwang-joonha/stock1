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dex" sheetId="1" state="visible" r:id="rId1"/>
    <sheet name="Control" sheetId="2" state="visible" r:id="rId2"/>
    <sheet name="Assumptions" sheetId="3" state="visible" r:id="rId3"/>
    <sheet name="Model" sheetId="4" state="visible" r:id="rId4"/>
    <sheet name="Formula Audit" sheetId="5" state="visible" r:id="rId5"/>
    <sheet name="Structure" sheetId="6" state="visible" r:id="rId6"/>
    <sheet name="Checks" sheetId="7" state="visible" r:id="rId7"/>
    <sheet name="Metadata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_-* #,##0_-;-* #,##0_-;_-* &quot;-&quot;_-;_-@_-"/>
    <numFmt numFmtId="165" formatCode="0.0%"/>
    <numFmt numFmtId="166" formatCode="0.000000"/>
  </numFmts>
  <fonts count="7">
    <font>
      <name val="Calibri"/>
      <family val="2"/>
      <color theme="1"/>
      <sz val="11"/>
      <scheme val="minor"/>
    </font>
    <font>
      <name val="Calibri"/>
      <b val="1"/>
      <color rgb="001E2185"/>
      <sz val="13"/>
    </font>
    <font>
      <name val="Calibri"/>
      <color rgb="006B7280"/>
      <sz val="9"/>
    </font>
    <font>
      <name val="Calibri"/>
      <b val="1"/>
      <color rgb="00FFFFFF"/>
      <sz val="10"/>
    </font>
    <font>
      <name val="Calibri"/>
      <b val="1"/>
      <color rgb="001C1C1C"/>
      <sz val="10"/>
    </font>
    <font>
      <name val="Calibri"/>
      <color rgb="001C1C1C"/>
      <sz val="10"/>
    </font>
    <font>
      <name val="Calibri"/>
      <color rgb="001F4E9C"/>
      <sz val="10"/>
    </font>
  </fonts>
  <fills count="6">
    <fill>
      <patternFill/>
    </fill>
    <fill>
      <patternFill patternType="gray125"/>
    </fill>
    <fill>
      <patternFill patternType="solid">
        <fgColor rgb="001E2185"/>
      </patternFill>
    </fill>
    <fill>
      <patternFill patternType="solid">
        <fgColor rgb="00EFEFF2"/>
      </patternFill>
    </fill>
    <fill>
      <patternFill patternType="solid">
        <fgColor rgb="00EDF3FF"/>
      </patternFill>
    </fill>
    <fill>
      <patternFill patternType="solid">
        <fgColor rgb="00DFE8FF"/>
      </patternFill>
    </fill>
  </fills>
  <borders count="2">
    <border>
      <left/>
      <right/>
      <top/>
      <bottom/>
      <diagonal/>
    </border>
    <border>
      <bottom style="thin">
        <color rgb="00D8DCE3"/>
      </bottom>
    </border>
  </borders>
  <cellStyleXfs count="1">
    <xf numFmtId="0" fontId="0" fillId="0" borderId="0"/>
  </cellStyleXfs>
  <cellXfs count="3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2" fillId="3" borderId="0" applyAlignment="1" pivotButton="0" quotePrefix="0" xfId="0">
      <alignment horizontal="center"/>
    </xf>
    <xf numFmtId="0" fontId="2" fillId="4" borderId="0" applyAlignment="1" pivotButton="0" quotePrefix="0" xfId="0">
      <alignment horizontal="center"/>
    </xf>
    <xf numFmtId="0" fontId="3" fillId="2" borderId="0" applyAlignment="1" pivotButton="0" quotePrefix="0" xfId="0">
      <alignment horizontal="center"/>
    </xf>
    <xf numFmtId="164" fontId="6" fillId="3" borderId="0" pivotButton="0" quotePrefix="0" xfId="0"/>
    <xf numFmtId="164" fontId="6" fillId="0" borderId="0" pivotButton="0" quotePrefix="0" xfId="0"/>
    <xf numFmtId="0" fontId="2" fillId="0" borderId="0" applyAlignment="1" pivotButton="0" quotePrefix="0" xfId="0">
      <alignment vertical="top" wrapText="1"/>
    </xf>
    <xf numFmtId="165" fontId="6" fillId="3" borderId="0" pivotButton="0" quotePrefix="0" xfId="0"/>
    <xf numFmtId="165" fontId="6" fillId="0" borderId="0" pivotButton="0" quotePrefix="0" xfId="0"/>
    <xf numFmtId="164" fontId="5" fillId="5" borderId="1" pivotButton="0" quotePrefix="0" xfId="0"/>
    <xf numFmtId="0" fontId="4" fillId="0" borderId="0" applyAlignment="1" pivotButton="0" quotePrefix="0" xfId="0">
      <alignment indent="1"/>
    </xf>
    <xf numFmtId="164" fontId="5" fillId="3" borderId="1" pivotButton="0" quotePrefix="0" xfId="0"/>
    <xf numFmtId="164" fontId="5" fillId="0" borderId="1" pivotButton="0" quotePrefix="0" xfId="0"/>
    <xf numFmtId="0" fontId="5" fillId="0" borderId="0" applyAlignment="1" pivotButton="0" quotePrefix="0" xfId="0">
      <alignment indent="2"/>
    </xf>
    <xf numFmtId="164" fontId="6" fillId="3" borderId="1" pivotButton="0" quotePrefix="0" xfId="0"/>
    <xf numFmtId="164" fontId="6" fillId="0" borderId="1" pivotButton="0" quotePrefix="0" xfId="0"/>
    <xf numFmtId="0" fontId="5" fillId="0" borderId="0" applyAlignment="1" pivotButton="0" quotePrefix="0" xfId="0">
      <alignment indent="3"/>
    </xf>
    <xf numFmtId="0" fontId="5" fillId="0" borderId="0" applyAlignment="1" pivotButton="0" quotePrefix="0" xfId="0">
      <alignment indent="4"/>
    </xf>
    <xf numFmtId="0" fontId="5" fillId="0" borderId="0" applyAlignment="1" pivotButton="0" quotePrefix="0" xfId="0">
      <alignment indent="5"/>
    </xf>
    <xf numFmtId="165" fontId="6" fillId="3" borderId="1" pivotButton="0" quotePrefix="0" xfId="0"/>
    <xf numFmtId="165" fontId="6" fillId="0" borderId="1" pivotButton="0" quotePrefix="0" xfId="0"/>
    <xf numFmtId="0" fontId="5" fillId="0" borderId="0" applyAlignment="1" pivotButton="0" quotePrefix="0" xfId="0">
      <alignment indent="6"/>
    </xf>
    <xf numFmtId="0" fontId="5" fillId="0" borderId="0" applyAlignment="1" pivotButton="0" quotePrefix="0" xfId="0">
      <alignment indent="7"/>
    </xf>
    <xf numFmtId="0" fontId="5" fillId="0" borderId="0" applyAlignment="1" pivotButton="0" quotePrefix="0" xfId="0">
      <alignment vertical="top" wrapText="1"/>
    </xf>
    <xf numFmtId="0" fontId="0" fillId="0" borderId="0" applyAlignment="1" pivotButton="0" quotePrefix="0" xfId="0">
      <alignment indent="1"/>
    </xf>
    <xf numFmtId="0" fontId="0" fillId="0" borderId="0" applyAlignment="1" pivotButton="0" quotePrefix="0" xfId="0">
      <alignment indent="2"/>
    </xf>
    <xf numFmtId="0" fontId="0" fillId="0" borderId="0" applyAlignment="1" pivotButton="0" quotePrefix="0" xfId="0">
      <alignment indent="3"/>
    </xf>
    <xf numFmtId="0" fontId="0" fillId="0" borderId="0" applyAlignment="1" pivotButton="0" quotePrefix="0" xfId="0">
      <alignment indent="4"/>
    </xf>
    <xf numFmtId="0" fontId="0" fillId="0" borderId="0" applyAlignment="1" pivotButton="0" quotePrefix="0" xfId="0">
      <alignment indent="5"/>
    </xf>
    <xf numFmtId="0" fontId="0" fillId="0" borderId="0" applyAlignment="1" pivotButton="0" quotePrefix="0" xfId="0">
      <alignment indent="6"/>
    </xf>
    <xf numFmtId="0" fontId="0" fillId="0" borderId="0" applyAlignment="1" pivotButton="0" quotePrefix="0" xfId="0">
      <alignment indent="7"/>
    </xf>
    <xf numFmtId="166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cols>
    <col width="20" customWidth="1" min="1" max="1"/>
    <col width="70" customWidth="1" min="2" max="2"/>
  </cols>
  <sheetData>
    <row r="1">
      <c r="A1" s="1" t="inlineStr">
        <is>
          <t>삼성전기 투자심사 모델</t>
        </is>
      </c>
    </row>
    <row r="2">
      <c r="A2" s="2" t="inlineStr">
        <is>
          <t>tools/build_excel.py가 model.html에서 생성. 직접 고치지 말 것 — 다음 빌드에 덮인다.</t>
        </is>
      </c>
    </row>
    <row r="4">
      <c r="A4" s="3" t="inlineStr">
        <is>
          <t>시트</t>
        </is>
      </c>
      <c r="B4" s="3" t="inlineStr">
        <is>
          <t>내용</t>
        </is>
      </c>
    </row>
    <row r="5">
      <c r="A5" s="4" t="inlineStr">
        <is>
          <t>Index</t>
        </is>
      </c>
      <c r="B5" s="5" t="inlineStr">
        <is>
          <t>이 시트</t>
        </is>
      </c>
    </row>
    <row r="6">
      <c r="A6" s="4" t="inlineStr">
        <is>
          <t>Control</t>
        </is>
      </c>
      <c r="B6" s="5" t="inlineStr">
        <is>
          <t>모델 개요·전역 설정</t>
        </is>
      </c>
    </row>
    <row r="7">
      <c r="A7" s="4" t="inlineStr">
        <is>
          <t>Assumptions</t>
        </is>
      </c>
      <c r="B7" s="5" t="inlineStr">
        <is>
          <t>가정변수 일람과 근거</t>
        </is>
      </c>
    </row>
    <row r="8">
      <c r="A8" s="4" t="inlineStr">
        <is>
          <t>Model</t>
        </is>
      </c>
      <c r="B8" s="5" t="inlineStr">
        <is>
          <t>계정 트리 × 연도. 수식이 살아있는 본체</t>
        </is>
      </c>
    </row>
    <row r="9">
      <c r="A9" s="4" t="inlineStr">
        <is>
          <t>Formula Audit</t>
        </is>
      </c>
      <c r="B9" s="5" t="inlineStr">
        <is>
          <t>모델 원식 ↔ 셀 수식 대조</t>
        </is>
      </c>
    </row>
    <row r="10">
      <c r="A10" s="4" t="inlineStr">
        <is>
          <t>Structure</t>
        </is>
      </c>
      <c r="B10" s="5" t="inlineStr">
        <is>
          <t>트리 구조·깊이·행 배치</t>
        </is>
      </c>
    </row>
    <row r="11">
      <c r="A11" s="4" t="inlineStr">
        <is>
          <t>Checks</t>
        </is>
      </c>
      <c r="B11" s="5" t="inlineStr">
        <is>
          <t>부모 = 자식 합 정합 검증</t>
        </is>
      </c>
    </row>
    <row r="12">
      <c r="A12" s="4" t="inlineStr">
        <is>
          <t>Metadata</t>
        </is>
      </c>
      <c r="B12" s="5" t="inlineStr">
        <is>
          <t>빌드 정보</t>
        </is>
      </c>
    </row>
    <row r="14">
      <c r="A14" s="4" t="inlineStr">
        <is>
          <t>셀 색 규약</t>
        </is>
      </c>
    </row>
    <row r="15">
      <c r="A15" s="2" t="inlineStr">
        <is>
          <t>파랑 글자</t>
        </is>
      </c>
      <c r="B15" s="2" t="inlineStr">
        <is>
          <t>하드코딩 입력값 — 여기만 고친다</t>
        </is>
      </c>
    </row>
    <row r="16">
      <c r="A16" s="2" t="inlineStr">
        <is>
          <t>검정 글자</t>
        </is>
      </c>
      <c r="B16" s="2" t="inlineStr">
        <is>
          <t>수식</t>
        </is>
      </c>
    </row>
    <row r="17">
      <c r="A17" s="2" t="inlineStr">
        <is>
          <t>회색 배경</t>
        </is>
      </c>
      <c r="B17" s="2" t="inlineStr">
        <is>
          <t>실적(Historical) 구간 — 공시 확정값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26" customWidth="1" min="1" max="1"/>
    <col width="60" customWidth="1" min="2" max="2"/>
  </cols>
  <sheetData>
    <row r="1">
      <c r="A1" s="1" t="inlineStr">
        <is>
          <t>컨트롤</t>
        </is>
      </c>
    </row>
    <row r="2">
      <c r="A2" s="2" t="inlineStr">
        <is>
          <t>가정을 바꾸려면 Assumptions 시트가 아니라 Model 시트의 파랑 셀을 고친다. Model이 계산의 단일 출처다.</t>
        </is>
      </c>
    </row>
    <row r="4">
      <c r="A4" s="4" t="inlineStr">
        <is>
          <t>모델</t>
        </is>
      </c>
      <c r="B4" t="inlineStr">
        <is>
          <t>삼성전기 투자심사 모델</t>
        </is>
      </c>
    </row>
    <row r="5">
      <c r="A5" s="4" t="inlineStr">
        <is>
          <t>통화 단위</t>
        </is>
      </c>
      <c r="B5" t="inlineStr">
        <is>
          <t>억원</t>
        </is>
      </c>
    </row>
    <row r="6">
      <c r="A6" s="4" t="inlineStr">
        <is>
          <t>범위</t>
        </is>
      </c>
      <c r="B6" t="inlineStr">
        <is>
          <t>매출 → 영업이익 → 밸류에이션</t>
        </is>
      </c>
    </row>
    <row r="7">
      <c r="A7" s="4" t="inlineStr">
        <is>
          <t>실적 연도 수 (HIST_N)</t>
        </is>
      </c>
      <c r="B7" t="n">
        <v>5</v>
      </c>
    </row>
    <row r="8">
      <c r="A8" s="4" t="inlineStr">
        <is>
          <t>추정 연도 수</t>
        </is>
      </c>
      <c r="B8" t="n">
        <v>5</v>
      </c>
    </row>
    <row r="9">
      <c r="A9" s="4" t="inlineStr">
        <is>
          <t>첫 연도</t>
        </is>
      </c>
      <c r="B9" t="inlineStr">
        <is>
          <t>2021</t>
        </is>
      </c>
    </row>
    <row r="10">
      <c r="A10" s="4" t="inlineStr">
        <is>
          <t>마지막 연도</t>
        </is>
      </c>
      <c r="B10" t="inlineStr">
        <is>
          <t>2030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35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22" customWidth="1" min="2" max="2"/>
    <col width="12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90" customWidth="1" min="14" max="14"/>
  </cols>
  <sheetData>
    <row r="1">
      <c r="A1" s="1" t="inlineStr">
        <is>
          <t>가정변수 일람</t>
        </is>
      </c>
    </row>
    <row r="2">
      <c r="A2" s="2" t="inlineStr">
        <is>
          <t>파랑 = 하드코딩 입력값. 근거 열의 대괄호 태그가 객관/주관 구분이다.</t>
        </is>
      </c>
    </row>
    <row r="3">
      <c r="D3" s="6" t="inlineStr">
        <is>
          <t>실적</t>
        </is>
      </c>
      <c r="E3" s="6" t="inlineStr">
        <is>
          <t>실적</t>
        </is>
      </c>
      <c r="F3" s="6" t="inlineStr">
        <is>
          <t>실적</t>
        </is>
      </c>
      <c r="G3" s="6" t="inlineStr">
        <is>
          <t>실적</t>
        </is>
      </c>
      <c r="H3" s="6" t="inlineStr">
        <is>
          <t>실적</t>
        </is>
      </c>
      <c r="I3" s="7" t="inlineStr">
        <is>
          <t>추정</t>
        </is>
      </c>
      <c r="J3" s="7" t="inlineStr">
        <is>
          <t>추정</t>
        </is>
      </c>
      <c r="K3" s="7" t="inlineStr">
        <is>
          <t>추정</t>
        </is>
      </c>
      <c r="L3" s="7" t="inlineStr">
        <is>
          <t>추정</t>
        </is>
      </c>
      <c r="M3" s="7" t="inlineStr">
        <is>
          <t>추정</t>
        </is>
      </c>
    </row>
    <row r="4">
      <c r="A4" s="3" t="inlineStr">
        <is>
          <t>계정</t>
        </is>
      </c>
      <c r="B4" s="3" t="inlineStr">
        <is>
          <t>노드 id</t>
        </is>
      </c>
      <c r="C4" s="3" t="inlineStr">
        <is>
          <t>단위</t>
        </is>
      </c>
      <c r="D4" s="8" t="inlineStr">
        <is>
          <t>2021A</t>
        </is>
      </c>
      <c r="E4" s="8" t="inlineStr">
        <is>
          <t>2022A</t>
        </is>
      </c>
      <c r="F4" s="8" t="inlineStr">
        <is>
          <t>2023A</t>
        </is>
      </c>
      <c r="G4" s="8" t="inlineStr">
        <is>
          <t>2024A</t>
        </is>
      </c>
      <c r="H4" s="8" t="inlineStr">
        <is>
          <t>2025A</t>
        </is>
      </c>
      <c r="I4" s="8" t="inlineStr">
        <is>
          <t>2026E</t>
        </is>
      </c>
      <c r="J4" s="8" t="inlineStr">
        <is>
          <t>2027E</t>
        </is>
      </c>
      <c r="K4" s="8" t="inlineStr">
        <is>
          <t>2028E</t>
        </is>
      </c>
      <c r="L4" s="8" t="inlineStr">
        <is>
          <t>2029E</t>
        </is>
      </c>
      <c r="M4" s="8" t="inlineStr">
        <is>
          <t>2030E</t>
        </is>
      </c>
      <c r="N4" s="3" t="inlineStr">
        <is>
          <t>근거</t>
        </is>
      </c>
    </row>
    <row r="5">
      <c r="A5" s="5" t="inlineStr">
        <is>
          <t>목표 EV/EBITDA</t>
        </is>
      </c>
      <c r="B5" s="2" t="inlineStr">
        <is>
          <t>target_ev_ebitda</t>
        </is>
      </c>
      <c r="C5" s="2" t="inlineStr">
        <is>
          <t>배</t>
        </is>
      </c>
      <c r="D5" s="9" t="n">
        <v>18</v>
      </c>
      <c r="E5" s="9" t="n">
        <v>18</v>
      </c>
      <c r="F5" s="9" t="n">
        <v>18</v>
      </c>
      <c r="G5" s="9" t="n">
        <v>18</v>
      </c>
      <c r="H5" s="9" t="n">
        <v>18</v>
      </c>
      <c r="I5" s="10" t="n">
        <v>18</v>
      </c>
      <c r="J5" s="10" t="n">
        <v>18</v>
      </c>
      <c r="K5" s="10" t="n">
        <v>18</v>
      </c>
      <c r="L5" s="10" t="n">
        <v>18</v>
      </c>
      <c r="M5" s="10" t="n">
        <v>18</v>
      </c>
      <c r="N5" s="11" t="inlineStr">
        <is>
          <t>[주관·시나리오] **2026-08-28 15배 → 18배 상향.** 근거는 해외 피어다. 2026 부문 EBITDA 비중(컴포넌트 55.2% · 패키지 32.2% · 광학 12.7%)으로 피어 배수를 가중하면 22.9배가 나온다 (MLCC 무라타·야게오 평균 24.0 · FC-BGA 이비덴·신코덴키 평균 26.7 · 광학 LG이노텍 8.3). 그러나 이 배수들은 **지금 시점의 TTM**이고 목표배수는 2030년에 적용하는 값이다. 테마 프리미엄이 5년 뒤에도 유지된다는 가정은 두지 않았다. 가중평균 22.9배와 국내 AI 기판 2026E 상단(21.3배) 아래인 18배를 택했다.  이 모델에서 가장 강력한 단일 가정이다. 값을 두 배로 하면 적정가치도 두 배가 된다. 국내 부품사 역사적 중간값은 5~8배 수준이나, 전장·서버 믹스 전환과 AI 수요를 반영해 프리미엄을 적용했다. 현재 주가가 함의하는 배수는 심사 뷰에서 역산해 함께 본다.</t>
        </is>
      </c>
    </row>
    <row r="6">
      <c r="A6" s="5" t="inlineStr">
        <is>
          <t>순이익 실적 마스크</t>
        </is>
      </c>
      <c r="B6" s="2" t="inlineStr">
        <is>
          <t>ni_hist</t>
        </is>
      </c>
      <c r="C6" s="2" t="inlineStr"/>
      <c r="D6" s="9" t="n">
        <v>1</v>
      </c>
      <c r="E6" s="9" t="n">
        <v>1</v>
      </c>
      <c r="F6" s="9" t="n">
        <v>1</v>
      </c>
      <c r="G6" s="9" t="n">
        <v>1</v>
      </c>
      <c r="H6" s="9" t="n">
        <v>1</v>
      </c>
      <c r="I6" s="10" t="n">
        <v>0</v>
      </c>
      <c r="J6" s="10" t="n">
        <v>0</v>
      </c>
      <c r="K6" s="10" t="n">
        <v>0</v>
      </c>
      <c r="L6" s="10" t="n">
        <v>0</v>
      </c>
      <c r="M6" s="10" t="n">
        <v>0</v>
      </c>
      <c r="N6" s="11" t="inlineStr">
        <is>
          <t>[객관] 실적 연도 표시(1). 순이익은 적자 연도가 있어 "실적 &gt; 0" 관용구를 쓸 수 없다 — LGD·삼성전자 DS에서 확립한 hist 마스크 패턴.</t>
        </is>
      </c>
    </row>
    <row r="7">
      <c r="A7" s="5" t="inlineStr">
        <is>
          <t>순이익 실적</t>
        </is>
      </c>
      <c r="B7" s="2" t="inlineStr">
        <is>
          <t>ni_actual</t>
        </is>
      </c>
      <c r="C7" s="2" t="inlineStr">
        <is>
          <t>억원</t>
        </is>
      </c>
      <c r="D7" s="9" t="n">
        <v>8924.453169140001</v>
      </c>
      <c r="E7" s="9" t="n">
        <v>9805.51642127</v>
      </c>
      <c r="F7" s="9" t="n">
        <v>4229.56706612</v>
      </c>
      <c r="G7" s="9" t="n">
        <v>6791.30069623</v>
      </c>
      <c r="H7" s="9" t="n">
        <v>7061.1316545</v>
      </c>
      <c r="I7" s="10" t="n">
        <v>0</v>
      </c>
      <c r="J7" s="10" t="n">
        <v>0</v>
      </c>
      <c r="K7" s="10" t="n">
        <v>0</v>
      </c>
      <c r="L7" s="10" t="n">
        <v>0</v>
      </c>
      <c r="M7" s="10" t="n">
        <v>0</v>
      </c>
      <c r="N7" s="11" t="inlineStr">
        <is>
          <t>[객관] 연결 지배주주 순이익 확정값 (사업보고서 연결포괄손익계산서).</t>
        </is>
      </c>
    </row>
    <row r="8">
      <c r="A8" s="5" t="inlineStr">
        <is>
          <t>영업외손익</t>
        </is>
      </c>
      <c r="B8" s="2" t="inlineStr">
        <is>
          <t>nonop</t>
        </is>
      </c>
      <c r="C8" s="2" t="inlineStr">
        <is>
          <t>억원</t>
        </is>
      </c>
      <c r="D8" s="9" t="n">
        <v>44.36121063</v>
      </c>
      <c r="E8" s="9" t="n">
        <v>39.92163459</v>
      </c>
      <c r="F8" s="9" t="n">
        <v>-973.06898031</v>
      </c>
      <c r="G8" s="9" t="n">
        <v>622.90189055</v>
      </c>
      <c r="H8" s="9" t="n">
        <v>-174.99805753</v>
      </c>
      <c r="I8" s="10" t="n">
        <v>-100</v>
      </c>
      <c r="J8" s="10" t="n">
        <v>-100</v>
      </c>
      <c r="K8" s="10" t="n">
        <v>-100</v>
      </c>
      <c r="L8" s="10" t="n">
        <v>-100</v>
      </c>
      <c r="M8" s="10" t="n">
        <v>-100</v>
      </c>
      <c r="N8" s="11" t="inlineStr">
        <is>
          <t>[주관 추정 · 실적은 공시값] 영업외손익 = 세전이익 − 영업이익. 실적 +44/+40/−973/+623/−175억 — 금융·기타손익이 해마다 튄다. 추정은 5년 평균(−88억) 부근 **−100억 고정**.</t>
        </is>
      </c>
    </row>
    <row r="9">
      <c r="A9" s="5" t="inlineStr">
        <is>
          <t>실효세율</t>
        </is>
      </c>
      <c r="B9" s="2" t="inlineStr">
        <is>
          <t>tax_rate</t>
        </is>
      </c>
      <c r="C9" s="2" t="inlineStr">
        <is>
          <t>%</t>
        </is>
      </c>
      <c r="D9" s="12" t="n">
        <v>0</v>
      </c>
      <c r="E9" s="12" t="n">
        <v>0</v>
      </c>
      <c r="F9" s="12" t="n">
        <v>0</v>
      </c>
      <c r="G9" s="12" t="n">
        <v>0</v>
      </c>
      <c r="H9" s="12" t="n">
        <v>0</v>
      </c>
      <c r="I9" s="13" t="n">
        <v>0.18</v>
      </c>
      <c r="J9" s="13" t="n">
        <v>0.18</v>
      </c>
      <c r="K9" s="13" t="n">
        <v>0.18</v>
      </c>
      <c r="L9" s="13" t="n">
        <v>0.18</v>
      </c>
      <c r="M9" s="13" t="n">
        <v>0.18</v>
      </c>
      <c r="N9" s="11" t="inlineStr">
        <is>
          <t>[주관] 실효세율. 실적 27.7/13.8/15.2/16.6/18.3% — 2021을 빼면 평균 16%. 여유를 둬 18%.</t>
        </is>
      </c>
    </row>
    <row r="10">
      <c r="A10" s="5" t="inlineStr">
        <is>
          <t>지배지분 비율</t>
        </is>
      </c>
      <c r="B10" s="2" t="inlineStr">
        <is>
          <t>ctrl_ratio</t>
        </is>
      </c>
      <c r="C10" s="2" t="inlineStr">
        <is>
          <t>%</t>
        </is>
      </c>
      <c r="D10" s="12" t="n">
        <v>0</v>
      </c>
      <c r="E10" s="12" t="n">
        <v>0</v>
      </c>
      <c r="F10" s="12" t="n">
        <v>0</v>
      </c>
      <c r="G10" s="12" t="n">
        <v>0</v>
      </c>
      <c r="H10" s="12" t="n">
        <v>0</v>
      </c>
      <c r="I10" s="13" t="n">
        <v>0.965</v>
      </c>
      <c r="J10" s="13" t="n">
        <v>0.965</v>
      </c>
      <c r="K10" s="13" t="n">
        <v>0.965</v>
      </c>
      <c r="L10" s="13" t="n">
        <v>0.965</v>
      </c>
      <c r="M10" s="13" t="n">
        <v>0.965</v>
      </c>
      <c r="N10" s="11" t="inlineStr">
        <is>
          <t>[주관] 지배지분 비율. 실적 97.5/98.7/93.9/96.6/96.6% — 96.5% 고정.</t>
        </is>
      </c>
    </row>
    <row r="11">
      <c r="A11" s="5" t="inlineStr">
        <is>
          <t>상장주식수</t>
        </is>
      </c>
      <c r="B11" s="2" t="inlineStr">
        <is>
          <t>shares</t>
        </is>
      </c>
      <c r="C11" s="2" t="inlineStr">
        <is>
          <t>백만주</t>
        </is>
      </c>
      <c r="D11" s="9" t="n">
        <v>74.693696</v>
      </c>
      <c r="E11" s="9" t="n">
        <v>74.693696</v>
      </c>
      <c r="F11" s="9" t="n">
        <v>74.693696</v>
      </c>
      <c r="G11" s="9" t="n">
        <v>74.693696</v>
      </c>
      <c r="H11" s="9" t="n">
        <v>74.693696</v>
      </c>
      <c r="I11" s="10" t="n">
        <v>74.693696</v>
      </c>
      <c r="J11" s="10" t="n">
        <v>74.693696</v>
      </c>
      <c r="K11" s="10" t="n">
        <v>74.693696</v>
      </c>
      <c r="L11" s="10" t="n">
        <v>74.693696</v>
      </c>
      <c r="M11" s="10" t="n">
        <v>74.693696</v>
      </c>
      <c r="N11" s="11" t="inlineStr">
        <is>
          <t>[객관] 상장 보통주 74,693,696주(2025년말) 고정. 기말 단순 기준 — 공시 기본EPS(가중평균·우선주 구분)와 계산 기준이 다르다.</t>
        </is>
      </c>
    </row>
    <row r="12">
      <c r="A12" s="5" t="inlineStr">
        <is>
          <t>DPS 실적</t>
        </is>
      </c>
      <c r="B12" s="2" t="inlineStr">
        <is>
          <t>dps_a</t>
        </is>
      </c>
      <c r="C12" s="2" t="inlineStr">
        <is>
          <t>원</t>
        </is>
      </c>
      <c r="D12" s="9" t="n">
        <v>2100</v>
      </c>
      <c r="E12" s="9" t="n">
        <v>2100</v>
      </c>
      <c r="F12" s="9" t="n">
        <v>1150</v>
      </c>
      <c r="G12" s="9" t="n">
        <v>1800</v>
      </c>
      <c r="H12" s="9" t="n">
        <v>2350</v>
      </c>
      <c r="I12" s="10" t="n">
        <v>0</v>
      </c>
      <c r="J12" s="10" t="n">
        <v>0</v>
      </c>
      <c r="K12" s="10" t="n">
        <v>0</v>
      </c>
      <c r="L12" s="10" t="n">
        <v>0</v>
      </c>
      <c r="M12" s="10" t="n">
        <v>0</v>
      </c>
      <c r="N12" s="11" t="inlineStr">
        <is>
          <t>[객관] 보통주 주당 현금배당. 실적 2,100/2,100/1,150/1,800/2,350원 (배당에 관한 사항).</t>
        </is>
      </c>
    </row>
    <row r="13">
      <c r="A13" s="5" t="inlineStr">
        <is>
          <t>배당성향</t>
        </is>
      </c>
      <c r="B13" s="2" t="inlineStr">
        <is>
          <t>payout</t>
        </is>
      </c>
      <c r="C13" s="2" t="inlineStr">
        <is>
          <t>%</t>
        </is>
      </c>
      <c r="D13" s="12" t="n">
        <v>0</v>
      </c>
      <c r="E13" s="12" t="n">
        <v>0</v>
      </c>
      <c r="F13" s="12" t="n">
        <v>0</v>
      </c>
      <c r="G13" s="12" t="n">
        <v>0</v>
      </c>
      <c r="H13" s="12" t="n">
        <v>0</v>
      </c>
      <c r="I13" s="13" t="n">
        <v>0.25</v>
      </c>
      <c r="J13" s="13" t="n">
        <v>0.25</v>
      </c>
      <c r="K13" s="13" t="n">
        <v>0.25</v>
      </c>
      <c r="L13" s="13" t="n">
        <v>0.25</v>
      </c>
      <c r="M13" s="13" t="n">
        <v>0.25</v>
      </c>
      <c r="N13" s="11" t="inlineStr">
        <is>
          <t>[주관] 배당성향. 실적 17.8/16.2/20.6/20.0/25.2% — **25% 유지** 가정. DPS = EPS × 성향이라 이익이 크면 배당도 같이 큰다.</t>
        </is>
      </c>
    </row>
    <row r="14">
      <c r="A14" s="5" t="inlineStr">
        <is>
          <t>컴포넌트 실적</t>
        </is>
      </c>
      <c r="B14" s="2" t="inlineStr">
        <is>
          <t>comp_actual</t>
        </is>
      </c>
      <c r="C14" s="2" t="inlineStr">
        <is>
          <t>억원</t>
        </is>
      </c>
      <c r="D14" s="9" t="n">
        <v>47718.3</v>
      </c>
      <c r="E14" s="9" t="n">
        <v>41322.83</v>
      </c>
      <c r="F14" s="9" t="n">
        <v>39030.22</v>
      </c>
      <c r="G14" s="9" t="n">
        <v>44620.5</v>
      </c>
      <c r="H14" s="9" t="n">
        <v>51985.01</v>
      </c>
      <c r="I14" s="10" t="n">
        <v>0</v>
      </c>
      <c r="J14" s="10" t="n">
        <v>0</v>
      </c>
      <c r="K14" s="10" t="n">
        <v>0</v>
      </c>
      <c r="L14" s="10" t="n">
        <v>0</v>
      </c>
      <c r="M14" s="10" t="n">
        <v>0</v>
      </c>
      <c r="N14" s="11" t="inlineStr">
        <is>
          <t>[객관·확정] 사업보고서 영업부문 주석. 2021~2022는 최초 공시 기준, 2023~2025는 중단영업 재작성 기준(컴포넌트는 재작성 영향 없음). 추정 연도는 0 — 0이면 성장률 경로로 넘어간다.</t>
        </is>
      </c>
    </row>
    <row r="15">
      <c r="A15" s="5" t="inlineStr">
        <is>
          <t>컴포넌트 물량 성장률</t>
        </is>
      </c>
      <c r="B15" s="2" t="inlineStr">
        <is>
          <t>comp_vol_g</t>
        </is>
      </c>
      <c r="C15" s="2" t="inlineStr">
        <is>
          <t>%</t>
        </is>
      </c>
      <c r="D15" s="12" t="n">
        <v>0</v>
      </c>
      <c r="E15" s="12" t="n">
        <v>0</v>
      </c>
      <c r="F15" s="12" t="n">
        <v>0</v>
      </c>
      <c r="G15" s="12" t="n">
        <v>0</v>
      </c>
      <c r="H15" s="12" t="n">
        <v>0</v>
      </c>
      <c r="I15" s="13" t="n">
        <v>0.14</v>
      </c>
      <c r="J15" s="13" t="n">
        <v>0.09</v>
      </c>
      <c r="K15" s="13" t="n">
        <v>0.07000000000000001</v>
      </c>
      <c r="L15" s="13" t="n">
        <v>0.05</v>
      </c>
      <c r="M15" s="13" t="n">
        <v>0.05</v>
      </c>
      <c r="N15" s="11" t="inlineStr">
        <is>
          <t>[주관·시나리오] **2026-08-28 상향** (기존 8/7/6/5/5%). 2026 상반기 확정 매출 30,579억, 전년 동기 대비 +22.5%. 계절성(H2/H1 평균 1.063)과 YoY 연장 두 방법이 FY2026을 63,079억·63,663억으로 서로 1% 안에서 일치해 63,371억을 채택했고, 이는 2025년 대비 +21.9%다. 물량 14% × 단가 7%로 나눴다. 2027 이후는 기저가 커지므로 더 가파르게 체감시킨다.  출하 수량 성장률. 전장(대당 탑재량 상승)과 서버·AI (고용량 제품)가 구조적 성장축이고 IT는 사이클성. 공시가 출하 수량을 주지 않아 물량과 단가의 분리는 추정이며, 이 슬라이더가 그 가정이다.</t>
        </is>
      </c>
    </row>
    <row r="16">
      <c r="A16" s="5" t="inlineStr">
        <is>
          <t>컴포넌트 단가·믹스 성장률</t>
        </is>
      </c>
      <c r="B16" s="2" t="inlineStr">
        <is>
          <t>comp_price_g</t>
        </is>
      </c>
      <c r="C16" s="2" t="inlineStr">
        <is>
          <t>%</t>
        </is>
      </c>
      <c r="D16" s="12" t="n">
        <v>0</v>
      </c>
      <c r="E16" s="12" t="n">
        <v>0</v>
      </c>
      <c r="F16" s="12" t="n">
        <v>0</v>
      </c>
      <c r="G16" s="12" t="n">
        <v>0</v>
      </c>
      <c r="H16" s="12" t="n">
        <v>0</v>
      </c>
      <c r="I16" s="13" t="n">
        <v>0.07000000000000001</v>
      </c>
      <c r="J16" s="13" t="n">
        <v>0.04</v>
      </c>
      <c r="K16" s="13" t="n">
        <v>0.03</v>
      </c>
      <c r="L16" s="13" t="n">
        <v>0.02</v>
      </c>
      <c r="M16" s="13" t="n">
        <v>0.02</v>
      </c>
      <c r="N16" s="11" t="inlineStr">
        <is>
          <t>[주관·시나리오] **2026-08-28 상향** (기존 4/3/3/2/2%). AI 서버용 고용량 제품 믹스 상승분을 단가 쪽에 배분했다. 공시가 부문별 출하 수량을 주지 않아 물량·단가 분해는 여전히 판단이다 — 합계 증가율만 실적에서 확정된다.  블렌디드 단가 상승률. 전장·서버 비중이 오르면 같은 수량에도 매출이 오른다. 범용 IT 제품은 공급과잉 시 하락 압력. 비용 레이어의 부문 마진과 공유하는 드라이버 — 믹스 개선은 매출과 마진을 함께 끌어올린다.</t>
        </is>
      </c>
    </row>
    <row r="17">
      <c r="A17" s="5" t="inlineStr">
        <is>
          <t>광학 실적</t>
        </is>
      </c>
      <c r="B17" s="2" t="inlineStr">
        <is>
          <t>optics_actual</t>
        </is>
      </c>
      <c r="C17" s="2" t="inlineStr">
        <is>
          <t>억원</t>
        </is>
      </c>
      <c r="D17" s="9" t="n">
        <v>32240.56</v>
      </c>
      <c r="E17" s="9" t="n">
        <v>32039.5</v>
      </c>
      <c r="F17" s="9" t="n">
        <v>32720.12</v>
      </c>
      <c r="G17" s="9" t="n">
        <v>37973.96</v>
      </c>
      <c r="H17" s="9" t="n">
        <v>38142.05</v>
      </c>
      <c r="I17" s="10" t="n">
        <v>0</v>
      </c>
      <c r="J17" s="10" t="n">
        <v>0</v>
      </c>
      <c r="K17" s="10" t="n">
        <v>0</v>
      </c>
      <c r="L17" s="10" t="n">
        <v>0</v>
      </c>
      <c r="M17" s="10" t="n">
        <v>0</v>
      </c>
      <c r="N17" s="11" t="inlineStr">
        <is>
          <t>[객관·확정] 사업보고서 영업부문 주석. 2021~2022는 최초 공시(광학통신솔루션), 2023~2025는 중단영업 재작성 기준(광학솔루션). 재작성 차이는 전액 이 부문에 있으며 2023 기준 170억(적자 사업) — 총매출의 0.19%.</t>
        </is>
      </c>
    </row>
    <row r="18">
      <c r="A18" s="5" t="inlineStr">
        <is>
          <t>광학 물량 성장률</t>
        </is>
      </c>
      <c r="B18" s="2" t="inlineStr">
        <is>
          <t>optics_vol_g</t>
        </is>
      </c>
      <c r="C18" s="2" t="inlineStr">
        <is>
          <t>%</t>
        </is>
      </c>
      <c r="D18" s="12" t="n">
        <v>0</v>
      </c>
      <c r="E18" s="12" t="n">
        <v>0</v>
      </c>
      <c r="F18" s="12" t="n">
        <v>0</v>
      </c>
      <c r="G18" s="12" t="n">
        <v>0</v>
      </c>
      <c r="H18" s="12" t="n">
        <v>0</v>
      </c>
      <c r="I18" s="13" t="n">
        <v>0.03</v>
      </c>
      <c r="J18" s="13" t="n">
        <v>0.01</v>
      </c>
      <c r="K18" s="13" t="n">
        <v>0.01</v>
      </c>
      <c r="L18" s="13" t="n">
        <v>0</v>
      </c>
      <c r="M18" s="13" t="n">
        <v>0</v>
      </c>
      <c r="N18" s="11" t="inlineStr">
        <is>
          <t>[주관·시나리오] **2026-08-28 소폭 상향** (기존 1/1/1/0/0%). 상반기 +7.6%로 기존 가정을 웃돌았으나, 이 부문은 계절성이 역방향(H2/H1 0.879)이라 상반기 강세를 연간으로 그대로 연장하지 않았다. FY2026 40,359억(+5.8%).  모듈 출하량 성장률 = 고객사 물량 × 고객사 내 점유율. 두 변수가 곱으로 들어가 하방 변동이 증폭된다. 경쟁사 진입이 이 부문 최대 위험이며 Bear 시나리오에서 가장 크게 흔들 변수다.</t>
        </is>
      </c>
    </row>
    <row r="19">
      <c r="A19" s="5" t="inlineStr">
        <is>
          <t>광학 단가·믹스 성장률</t>
        </is>
      </c>
      <c r="B19" s="2" t="inlineStr">
        <is>
          <t>optics_price_g</t>
        </is>
      </c>
      <c r="C19" s="2" t="inlineStr">
        <is>
          <t>%</t>
        </is>
      </c>
      <c r="D19" s="12" t="n">
        <v>0</v>
      </c>
      <c r="E19" s="12" t="n">
        <v>0</v>
      </c>
      <c r="F19" s="12" t="n">
        <v>0</v>
      </c>
      <c r="G19" s="12" t="n">
        <v>0</v>
      </c>
      <c r="H19" s="12" t="n">
        <v>0</v>
      </c>
      <c r="I19" s="13" t="n">
        <v>0.027</v>
      </c>
      <c r="J19" s="13" t="n">
        <v>0.02</v>
      </c>
      <c r="K19" s="13" t="n">
        <v>0.02</v>
      </c>
      <c r="L19" s="13" t="n">
        <v>0.02</v>
      </c>
      <c r="M19" s="13" t="n">
        <v>0.01</v>
      </c>
      <c r="N19" s="11" t="inlineStr">
        <is>
          <t>[주관] 모듈 ASP 상승률. 고화소·폴디드줌·OIS 등 고사양 채용이 단가를 끌어올리지만 고객사 원가절감 압력이 상쇄한다. 물량 정체 국면에서 이 부문 성장은 사실상 단가에 달려 있다.</t>
        </is>
      </c>
    </row>
    <row r="20">
      <c r="A20" s="5" t="inlineStr">
        <is>
          <t>패키지 실적</t>
        </is>
      </c>
      <c r="B20" s="2" t="inlineStr">
        <is>
          <t>pkg_actual</t>
        </is>
      </c>
      <c r="C20" s="2" t="inlineStr">
        <is>
          <t>억원</t>
        </is>
      </c>
      <c r="D20" s="9" t="n">
        <v>16791.5</v>
      </c>
      <c r="E20" s="9" t="n">
        <v>20883.19</v>
      </c>
      <c r="F20" s="9" t="n">
        <v>17173.78</v>
      </c>
      <c r="G20" s="9" t="n">
        <v>20346.57</v>
      </c>
      <c r="H20" s="9" t="n">
        <v>23017.53</v>
      </c>
      <c r="I20" s="10" t="n">
        <v>0</v>
      </c>
      <c r="J20" s="10" t="n">
        <v>0</v>
      </c>
      <c r="K20" s="10" t="n">
        <v>0</v>
      </c>
      <c r="L20" s="10" t="n">
        <v>0</v>
      </c>
      <c r="M20" s="10" t="n">
        <v>0</v>
      </c>
      <c r="N20" s="11" t="inlineStr">
        <is>
          <t>[객관·확정] 사업보고서 영업부문 주석. 재작성 영향 없음. 2022 고점 → 2023 −17.8%(전방 재고조정) → 2년 연속 회복.</t>
        </is>
      </c>
    </row>
    <row r="21">
      <c r="A21" s="5" t="inlineStr">
        <is>
          <t>패키지 물량 성장률</t>
        </is>
      </c>
      <c r="B21" s="2" t="inlineStr">
        <is>
          <t>pkg_vol_g</t>
        </is>
      </c>
      <c r="C21" s="2" t="inlineStr">
        <is>
          <t>%</t>
        </is>
      </c>
      <c r="D21" s="12" t="n">
        <v>0</v>
      </c>
      <c r="E21" s="12" t="n">
        <v>0</v>
      </c>
      <c r="F21" s="12" t="n">
        <v>0</v>
      </c>
      <c r="G21" s="12" t="n">
        <v>0</v>
      </c>
      <c r="H21" s="12" t="n">
        <v>0</v>
      </c>
      <c r="I21" s="13" t="n">
        <v>0.26</v>
      </c>
      <c r="J21" s="13" t="n">
        <v>0.16</v>
      </c>
      <c r="K21" s="13" t="n">
        <v>0.12</v>
      </c>
      <c r="L21" s="13" t="n">
        <v>0.09</v>
      </c>
      <c r="M21" s="13" t="n">
        <v>0.07000000000000001</v>
      </c>
      <c r="N21" s="11" t="inlineStr">
        <is>
          <t>[주관·시나리오] **2026-08-28 대폭 상향** (기존 12/12/10/8/6%). 2026 상반기 매출 14,966억, 전년 동기 10,640억 대비 **+40.7%**. 두 추정법이 FY2026을 32,612억·32,378억으로 일치시켜 32,495억(+41.2%)을 채택했다. 이 모델에서 가장 크게 바뀐 가정이며, FC-BGA 증설분이 실제로 매출로 전환되고 있다는 뜻이다.  출하 물량 성장률 = 증설 생산능력 × 가동률. 공급 바인딩 부문이라 이 값이 증설 일정에 묶인다. 증설 CAPEX 일정은 Phase 2에서 감가상각 롤포워드로 연결되므로, 여기서 물량을 올리면 비용도 함께 올라야 정합적이다.</t>
        </is>
      </c>
    </row>
    <row r="22">
      <c r="A22" s="5" t="inlineStr">
        <is>
          <t>패키지 단가·믹스 성장률</t>
        </is>
      </c>
      <c r="B22" s="2" t="inlineStr">
        <is>
          <t>pkg_price_g</t>
        </is>
      </c>
      <c r="C22" s="2" t="inlineStr">
        <is>
          <t>%</t>
        </is>
      </c>
      <c r="D22" s="12" t="n">
        <v>0</v>
      </c>
      <c r="E22" s="12" t="n">
        <v>0</v>
      </c>
      <c r="F22" s="12" t="n">
        <v>0</v>
      </c>
      <c r="G22" s="12" t="n">
        <v>0</v>
      </c>
      <c r="H22" s="12" t="n">
        <v>0</v>
      </c>
      <c r="I22" s="13" t="n">
        <v>0.12</v>
      </c>
      <c r="J22" s="13" t="n">
        <v>0.05</v>
      </c>
      <c r="K22" s="13" t="n">
        <v>0.03</v>
      </c>
      <c r="L22" s="13" t="n">
        <v>0.02</v>
      </c>
      <c r="M22" s="13" t="n">
        <v>0.02</v>
      </c>
      <c r="N22" s="11" t="inlineStr">
        <is>
          <t>[주관] **2026-08-28 상향** (기존 3/3/2/2/2%). AI 기판은 층수·면적 확대가 단가로 직결되므로 초기 구간에 단가 기여를 크게 두었다. 2027부터는 경쟁 진입을 가정해 빠르게 낮춘다.  블렌디드 단가 상승률. 서버·AI용 FC-BGA 비중이 오르면 단가가 오른다. 모바일 AP용 범용 기판은 경쟁이 심해 단가 방어가 어렵다.</t>
        </is>
      </c>
    </row>
    <row r="23">
      <c r="A23" s="5" t="inlineStr">
        <is>
          <t>컴포넌트 감가 실적</t>
        </is>
      </c>
      <c r="B23" s="2" t="inlineStr">
        <is>
          <t>comp_dep_actual</t>
        </is>
      </c>
      <c r="C23" s="2" t="inlineStr">
        <is>
          <t>억원</t>
        </is>
      </c>
      <c r="D23" s="9" t="n">
        <v>5416.62</v>
      </c>
      <c r="E23" s="9" t="n">
        <v>5699</v>
      </c>
      <c r="F23" s="9" t="n">
        <v>4921.87</v>
      </c>
      <c r="G23" s="9" t="n">
        <v>4242.86</v>
      </c>
      <c r="H23" s="9" t="n">
        <v>4392.41</v>
      </c>
      <c r="I23" s="10" t="n">
        <v>0</v>
      </c>
      <c r="J23" s="10" t="n">
        <v>0</v>
      </c>
      <c r="K23" s="10" t="n">
        <v>0</v>
      </c>
      <c r="L23" s="10" t="n">
        <v>0</v>
      </c>
      <c r="M23" s="10" t="n">
        <v>0</v>
      </c>
      <c r="N23" s="11" t="inlineStr">
        <is>
          <t>[객관·확정] 사업보고서 영업부문 주석의 부문별 감가상각비.</t>
        </is>
      </c>
    </row>
    <row r="24">
      <c r="A24" s="5" t="inlineStr">
        <is>
          <t>컴포넌트 감가 증가율</t>
        </is>
      </c>
      <c r="B24" s="2" t="inlineStr">
        <is>
          <t>comp_dep_g</t>
        </is>
      </c>
      <c r="C24" s="2" t="inlineStr">
        <is>
          <t>%</t>
        </is>
      </c>
      <c r="D24" s="12" t="n">
        <v>0</v>
      </c>
      <c r="E24" s="12" t="n">
        <v>0</v>
      </c>
      <c r="F24" s="12" t="n">
        <v>0</v>
      </c>
      <c r="G24" s="12" t="n">
        <v>0</v>
      </c>
      <c r="H24" s="12" t="n">
        <v>0</v>
      </c>
      <c r="I24" s="13" t="n">
        <v>-0.03</v>
      </c>
      <c r="J24" s="13" t="n">
        <v>0.02</v>
      </c>
      <c r="K24" s="13" t="n">
        <v>0.02</v>
      </c>
      <c r="L24" s="13" t="n">
        <v>0.01</v>
      </c>
      <c r="M24" s="13" t="n">
        <v>0.01</v>
      </c>
      <c r="N24" s="11" t="inlineStr">
        <is>
          <t>[주관] **2026-08-28 하향** (기존 2/2/2/1/1%). 상반기 감가상각비 2,125억, 연환산 4,250억으로 2025년 4,392억 대비 **−3.2%**다. 컴포넌트 증설은 이미 정점을 지났다 — 실적이 가정을 바꿔준 사례.  감가상각비 증가율. 전사 CAPEX가 2024년 7,760억에서 2025년 11,921억으로 늘어 상각 부담이 다시 커지는 방향이나, 컴포넌트는 증설 강도가 패키지보다 낮아 완만한 증가로 본다.</t>
        </is>
      </c>
    </row>
    <row r="25">
      <c r="A25" s="5" t="inlineStr">
        <is>
          <t>컴포넌트 기타비용 실적</t>
        </is>
      </c>
      <c r="B25" s="2" t="inlineStr">
        <is>
          <t>comp_other_actual</t>
        </is>
      </c>
      <c r="C25" s="2" t="inlineStr">
        <is>
          <t>억원</t>
        </is>
      </c>
      <c r="D25" s="9" t="n">
        <v>31666.28</v>
      </c>
      <c r="E25" s="9" t="n">
        <v>29546.44</v>
      </c>
      <c r="F25" s="9" t="n">
        <v>30492.41</v>
      </c>
      <c r="G25" s="9" t="n">
        <v>35980.2</v>
      </c>
      <c r="H25" s="9" t="n">
        <v>41499.01</v>
      </c>
      <c r="I25" s="10" t="n">
        <v>0</v>
      </c>
      <c r="J25" s="10" t="n">
        <v>0</v>
      </c>
      <c r="K25" s="10" t="n">
        <v>0</v>
      </c>
      <c r="L25" s="10" t="n">
        <v>0</v>
      </c>
      <c r="M25" s="10" t="n">
        <v>0</v>
      </c>
      <c r="N25" s="11" t="inlineStr">
        <is>
          <t>[객관·확정] 매출 − 영업이익 − 감가상각비. 세 항목 모두 공시 확정값이라 이 값도 확정이다. 별도 가정이 들어가지 않았다.</t>
        </is>
      </c>
    </row>
    <row r="26">
      <c r="A26" s="5" t="inlineStr">
        <is>
          <t>컴포넌트 기타비용률</t>
        </is>
      </c>
      <c r="B26" s="2" t="inlineStr">
        <is>
          <t>comp_other_ratio</t>
        </is>
      </c>
      <c r="C26" s="2" t="inlineStr">
        <is>
          <t>%</t>
        </is>
      </c>
      <c r="D26" s="12" t="n">
        <v>0</v>
      </c>
      <c r="E26" s="12" t="n">
        <v>0</v>
      </c>
      <c r="F26" s="12" t="n">
        <v>0</v>
      </c>
      <c r="G26" s="12" t="n">
        <v>0</v>
      </c>
      <c r="H26" s="12" t="n">
        <v>0</v>
      </c>
      <c r="I26" s="13" t="n">
        <v>0.78</v>
      </c>
      <c r="J26" s="13" t="n">
        <v>0.771</v>
      </c>
      <c r="K26" s="13" t="n">
        <v>0.764</v>
      </c>
      <c r="L26" s="13" t="n">
        <v>0.758</v>
      </c>
      <c r="M26" s="13" t="n">
        <v>0.753</v>
      </c>
      <c r="N26" s="11" t="inlineStr">
        <is>
          <t>[주관·시나리오] **2026-08-28 하향** (기존 79.6 → 78.0%). 상반기 실적 78.7%, 2026Q2만 보면 76.5%로 2025Q2 79.3%에서 2.8%p 개선됐다. 가동률 가설이 맞는 쪽으로 움직이는 중이라 개선 속도를 연 0.7%p 안팎으로 올렸다. 2021년 수준(66.4%)까지는 여전히 가정하지 않는다.  매출 대비 기타비용 비율. 실적: 66.4% → 71.5% → 78.1% → 80.6% → 79.8%. 5년간 13%p 악화된 것이 이 부문 마진 하락의 주범이다. Base는 5년간 1.8%p 회복을 가정한다 — 악화 폭의 약 7분의 1만 되돌리는 보수적 설정이다. 그래도 이 가정이 전사 이익 추정을 가장 크게 흔드는 변수이므로, 2025년 수준 고정 시나리오를 반드시 함께 본다.</t>
        </is>
      </c>
    </row>
    <row r="27">
      <c r="A27" s="5" t="inlineStr">
        <is>
          <t>광학 감가 실적</t>
        </is>
      </c>
      <c r="B27" s="2" t="inlineStr">
        <is>
          <t>optics_dep_actual</t>
        </is>
      </c>
      <c r="C27" s="2" t="inlineStr">
        <is>
          <t>억원</t>
        </is>
      </c>
      <c r="D27" s="9" t="n">
        <v>957.36</v>
      </c>
      <c r="E27" s="9" t="n">
        <v>1209.65</v>
      </c>
      <c r="F27" s="9" t="n">
        <v>888.4400000000001</v>
      </c>
      <c r="G27" s="9" t="n">
        <v>722.89</v>
      </c>
      <c r="H27" s="9" t="n">
        <v>513.11</v>
      </c>
      <c r="I27" s="10" t="n">
        <v>0</v>
      </c>
      <c r="J27" s="10" t="n">
        <v>0</v>
      </c>
      <c r="K27" s="10" t="n">
        <v>0</v>
      </c>
      <c r="L27" s="10" t="n">
        <v>0</v>
      </c>
      <c r="M27" s="10" t="n">
        <v>0</v>
      </c>
      <c r="N27" s="11" t="inlineStr">
        <is>
          <t>[객관·확정] 사업보고서 영업부문 주석의 부문별 감가상각비.</t>
        </is>
      </c>
    </row>
    <row r="28">
      <c r="A28" s="5" t="inlineStr">
        <is>
          <t>광학 감가 증가율</t>
        </is>
      </c>
      <c r="B28" s="2" t="inlineStr">
        <is>
          <t>optics_dep_g</t>
        </is>
      </c>
      <c r="C28" s="2" t="inlineStr">
        <is>
          <t>%</t>
        </is>
      </c>
      <c r="D28" s="12" t="n">
        <v>0</v>
      </c>
      <c r="E28" s="12" t="n">
        <v>0</v>
      </c>
      <c r="F28" s="12" t="n">
        <v>0</v>
      </c>
      <c r="G28" s="12" t="n">
        <v>0</v>
      </c>
      <c r="H28" s="12" t="n">
        <v>0</v>
      </c>
      <c r="I28" s="13" t="n">
        <v>0.08</v>
      </c>
      <c r="J28" s="13" t="n">
        <v>-0.02</v>
      </c>
      <c r="K28" s="13" t="n">
        <v>0</v>
      </c>
      <c r="L28" s="13" t="n">
        <v>0</v>
      </c>
      <c r="M28" s="13" t="n">
        <v>0</v>
      </c>
      <c r="N28" s="11" t="inlineStr">
        <is>
          <t>[주관] **2026-08-28 상향** (기존 −5/−3/0/0/0%). 상반기 연환산 555억으로 2025년 513억 대비 +8.1%. 감소를 가정했으나 실제로는 늘었다.  감소 추세가 완만해지다 멈추는 것으로 본다. 신규 증설 계획이 확인되면 상향해야 한다.</t>
        </is>
      </c>
    </row>
    <row r="29">
      <c r="A29" s="5" t="inlineStr">
        <is>
          <t>광학 기타비용 실적</t>
        </is>
      </c>
      <c r="B29" s="2" t="inlineStr">
        <is>
          <t>optics_other_actual</t>
        </is>
      </c>
      <c r="C29" s="2" t="inlineStr">
        <is>
          <t>억원</t>
        </is>
      </c>
      <c r="D29" s="9" t="n">
        <v>29671.91</v>
      </c>
      <c r="E29" s="9" t="n">
        <v>29725.37</v>
      </c>
      <c r="F29" s="9" t="n">
        <v>30608.17</v>
      </c>
      <c r="G29" s="9" t="n">
        <v>35874.87</v>
      </c>
      <c r="H29" s="9" t="n">
        <v>35941.48</v>
      </c>
      <c r="I29" s="10" t="n">
        <v>0</v>
      </c>
      <c r="J29" s="10" t="n">
        <v>0</v>
      </c>
      <c r="K29" s="10" t="n">
        <v>0</v>
      </c>
      <c r="L29" s="10" t="n">
        <v>0</v>
      </c>
      <c r="M29" s="10" t="n">
        <v>0</v>
      </c>
      <c r="N29" s="11" t="inlineStr">
        <is>
          <t>[객관·확정] 매출 − 영업이익 − 감가상각비.</t>
        </is>
      </c>
    </row>
    <row r="30">
      <c r="A30" s="5" t="inlineStr">
        <is>
          <t>광학 기타비용률</t>
        </is>
      </c>
      <c r="B30" s="2" t="inlineStr">
        <is>
          <t>optics_other_ratio</t>
        </is>
      </c>
      <c r="C30" s="2" t="inlineStr">
        <is>
          <t>%</t>
        </is>
      </c>
      <c r="D30" s="12" t="n">
        <v>0</v>
      </c>
      <c r="E30" s="12" t="n">
        <v>0</v>
      </c>
      <c r="F30" s="12" t="n">
        <v>0</v>
      </c>
      <c r="G30" s="12" t="n">
        <v>0</v>
      </c>
      <c r="H30" s="12" t="n">
        <v>0</v>
      </c>
      <c r="I30" s="13" t="n">
        <v>0.93</v>
      </c>
      <c r="J30" s="13" t="n">
        <v>0.931</v>
      </c>
      <c r="K30" s="13" t="n">
        <v>0.9320000000000001</v>
      </c>
      <c r="L30" s="13" t="n">
        <v>0.9330000000000001</v>
      </c>
      <c r="M30" s="13" t="n">
        <v>0.9330000000000001</v>
      </c>
      <c r="N30" s="11" t="inlineStr">
        <is>
          <t>[주관] **2026-08-28 하향** (기존 94.2 → 93.0%). 상반기 실적 92.9%로 가정보다 좋았다. 다만 이 부문은 5년간 92~94% 안에 갇혀 있어 추세 개선으로 읽지 않는다 — 실적값에 맞추고 이후는 소폭 악화로 되돌린다.  실적: 92.0% → 92.8% → 93.5% → 94.5% → 94.2%. 고객사 원가절감 압력이 상시적이라 개선 여지가 거의 없는 것으로 본다. 거의 고정으로 두는 것이 보수적이다.</t>
        </is>
      </c>
    </row>
    <row r="31">
      <c r="A31" s="5" t="inlineStr">
        <is>
          <t>패키지 감가 실적</t>
        </is>
      </c>
      <c r="B31" s="2" t="inlineStr">
        <is>
          <t>pkg_dep_actual</t>
        </is>
      </c>
      <c r="C31" s="2" t="inlineStr">
        <is>
          <t>억원</t>
        </is>
      </c>
      <c r="D31" s="9" t="n">
        <v>1119.2</v>
      </c>
      <c r="E31" s="9" t="n">
        <v>1165.95</v>
      </c>
      <c r="F31" s="9" t="n">
        <v>1843.56</v>
      </c>
      <c r="G31" s="9" t="n">
        <v>2673.14</v>
      </c>
      <c r="H31" s="9" t="n">
        <v>3726.62</v>
      </c>
      <c r="I31" s="10" t="n">
        <v>0</v>
      </c>
      <c r="J31" s="10" t="n">
        <v>0</v>
      </c>
      <c r="K31" s="10" t="n">
        <v>0</v>
      </c>
      <c r="L31" s="10" t="n">
        <v>0</v>
      </c>
      <c r="M31" s="10" t="n">
        <v>0</v>
      </c>
      <c r="N31" s="11" t="inlineStr">
        <is>
          <t>[객관·확정] 사업보고서 영업부문 주석의 부문별 감가상각비.</t>
        </is>
      </c>
    </row>
    <row r="32">
      <c r="A32" s="5" t="inlineStr">
        <is>
          <t>패키지 감가 증가율</t>
        </is>
      </c>
      <c r="B32" s="2" t="inlineStr">
        <is>
          <t>pkg_dep_g</t>
        </is>
      </c>
      <c r="C32" s="2" t="inlineStr">
        <is>
          <t>%</t>
        </is>
      </c>
      <c r="D32" s="12" t="n">
        <v>0</v>
      </c>
      <c r="E32" s="12" t="n">
        <v>0</v>
      </c>
      <c r="F32" s="12" t="n">
        <v>0</v>
      </c>
      <c r="G32" s="12" t="n">
        <v>0</v>
      </c>
      <c r="H32" s="12" t="n">
        <v>0</v>
      </c>
      <c r="I32" s="13" t="n">
        <v>0.18</v>
      </c>
      <c r="J32" s="13" t="n">
        <v>0.1</v>
      </c>
      <c r="K32" s="13" t="n">
        <v>0.06</v>
      </c>
      <c r="L32" s="13" t="n">
        <v>0.03</v>
      </c>
      <c r="M32" s="13" t="n">
        <v>0.02</v>
      </c>
      <c r="N32" s="11" t="inlineStr">
        <is>
          <t>[주관·시나리오] **2026-08-28 상향** (기존 12/10/7/5/3%). 상반기 연환산 4,388억으로 2025년 3,727억 대비 **+17.7%** — 가정한 12%를 넘었다. 이익에 불리한 방향이지만 실적이 그렇게 말하므로 그대로 반영한다. 다만 분기로 보면 2026Q1 1,102억 → Q2 1,092억으로 처음 꺾였고, 그래서 2027 이후 체감 속도를 높였다.  이 모델에서 가장 민감한 가정 하나다. 2025년 말 건설중인자산 1조 2,165억원이 순차 가동되며 상각이 시작되므로 증가는 이어지되 증가율은 둔화하는 것으로 본다. 증설이 계속되면 상향해야 하고, 그 경우 pkg_vol_g(물량)도 함께 올라야 정합적이다 — 같은 증설이 매출과 비용을 동시에 만든다.</t>
        </is>
      </c>
    </row>
    <row r="33">
      <c r="A33" s="5" t="inlineStr">
        <is>
          <t>패키지 기타비용 실적</t>
        </is>
      </c>
      <c r="B33" s="2" t="inlineStr">
        <is>
          <t>pkg_other_actual</t>
        </is>
      </c>
      <c r="C33" s="2" t="inlineStr">
        <is>
          <t>억원</t>
        </is>
      </c>
      <c r="D33" s="9" t="n">
        <v>13050.26</v>
      </c>
      <c r="E33" s="9" t="n">
        <v>15070.75</v>
      </c>
      <c r="F33" s="9" t="n">
        <v>13564.23</v>
      </c>
      <c r="G33" s="9" t="n">
        <v>16097.01</v>
      </c>
      <c r="H33" s="9" t="n">
        <v>17938.65</v>
      </c>
      <c r="I33" s="10" t="n">
        <v>0</v>
      </c>
      <c r="J33" s="10" t="n">
        <v>0</v>
      </c>
      <c r="K33" s="10" t="n">
        <v>0</v>
      </c>
      <c r="L33" s="10" t="n">
        <v>0</v>
      </c>
      <c r="M33" s="10" t="n">
        <v>0</v>
      </c>
      <c r="N33" s="11" t="inlineStr">
        <is>
          <t>[객관·확정] 매출 − 영업이익 − 감가상각비.</t>
        </is>
      </c>
    </row>
    <row r="34">
      <c r="A34" s="5" t="inlineStr">
        <is>
          <t>패키지 기타비용률</t>
        </is>
      </c>
      <c r="B34" s="2" t="inlineStr">
        <is>
          <t>pkg_other_ratio</t>
        </is>
      </c>
      <c r="C34" s="2" t="inlineStr">
        <is>
          <t>%</t>
        </is>
      </c>
      <c r="D34" s="12" t="n">
        <v>0</v>
      </c>
      <c r="E34" s="12" t="n">
        <v>0</v>
      </c>
      <c r="F34" s="12" t="n">
        <v>0</v>
      </c>
      <c r="G34" s="12" t="n">
        <v>0</v>
      </c>
      <c r="H34" s="12" t="n">
        <v>0</v>
      </c>
      <c r="I34" s="13" t="n">
        <v>0.74</v>
      </c>
      <c r="J34" s="13" t="n">
        <v>0.73</v>
      </c>
      <c r="K34" s="13" t="n">
        <v>0.722</v>
      </c>
      <c r="L34" s="13" t="n">
        <v>0.716</v>
      </c>
      <c r="M34" s="13" t="n">
        <v>0.711</v>
      </c>
      <c r="N34" s="11" t="inlineStr">
        <is>
          <t>[주관·시나리오] **2026-08-28 하향** (기존 77.5 → 74.0%). 상반기 실적 74.6%, 2026Q2 72.2%. 증설 라인의 가동률이 오르면서 고정비 배부가 개선되는 국면.  실적: 77.7% → 72.2% → 79.0% → 79.1% → 77.9%. 2022년 72.2%는 가동률이 높았던 해다. 증설 라인이 정상 가동되면 그 수준으로 회복하는 경로를 가정했다.</t>
        </is>
      </c>
    </row>
    <row r="35">
      <c r="A35" s="5" t="inlineStr">
        <is>
          <t>순차입금</t>
        </is>
      </c>
      <c r="B35" s="2" t="inlineStr">
        <is>
          <t>net_debt</t>
        </is>
      </c>
      <c r="C35" s="2" t="inlineStr">
        <is>
          <t>억원</t>
        </is>
      </c>
      <c r="D35" s="9" t="n">
        <v>-1928</v>
      </c>
      <c r="E35" s="9" t="n">
        <v>-2558</v>
      </c>
      <c r="F35" s="9" t="n">
        <v>-1477</v>
      </c>
      <c r="G35" s="9" t="n">
        <v>-4554</v>
      </c>
      <c r="H35" s="9" t="n">
        <v>-5094</v>
      </c>
      <c r="I35" s="10" t="n">
        <v>-5094</v>
      </c>
      <c r="J35" s="10" t="n">
        <v>-5094</v>
      </c>
      <c r="K35" s="10" t="n">
        <v>-5094</v>
      </c>
      <c r="L35" s="10" t="n">
        <v>-5094</v>
      </c>
      <c r="M35" s="10" t="n">
        <v>-5094</v>
      </c>
      <c r="N35" s="11" t="inlineStr">
        <is>
          <t>[객관·실적 확정 / 추정 구간은 보수적 고정] 총차입금(단기+유동성장기+장기) − 현금및현금성자산. 전 기간 음수 = 순현금이다. 실적: −1,928 → −2,558 → −1,477 → −4,554 → −5,094억원. 추정 구간은 2025년 수준으로 고정했다 — 이익 창출로 순현금이 더 쌓이는 것이 자연스러우나 배당·증설 계획이 공시되지 않아 보수적으로 두었다. 현재 시가총액의 0.5% 규모라 밸류에이션에 미치는 영향은 미미하다. 리스부채는 제외했다.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57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22" customWidth="1" min="2" max="2"/>
    <col width="12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</cols>
  <sheetData>
    <row r="1">
      <c r="A1" s="1" t="inlineStr">
        <is>
          <t>삼성전기 투자심사 모델</t>
        </is>
      </c>
    </row>
    <row r="2">
      <c r="A2" s="2" t="inlineStr">
        <is>
          <t>단위 억원 · 실적 5개년 + 추정 5개년</t>
        </is>
      </c>
    </row>
    <row r="3">
      <c r="D3" s="6" t="inlineStr">
        <is>
          <t>실적</t>
        </is>
      </c>
      <c r="E3" s="6" t="inlineStr">
        <is>
          <t>실적</t>
        </is>
      </c>
      <c r="F3" s="6" t="inlineStr">
        <is>
          <t>실적</t>
        </is>
      </c>
      <c r="G3" s="6" t="inlineStr">
        <is>
          <t>실적</t>
        </is>
      </c>
      <c r="H3" s="6" t="inlineStr">
        <is>
          <t>실적</t>
        </is>
      </c>
      <c r="I3" s="7" t="inlineStr">
        <is>
          <t>추정</t>
        </is>
      </c>
      <c r="J3" s="7" t="inlineStr">
        <is>
          <t>추정</t>
        </is>
      </c>
      <c r="K3" s="7" t="inlineStr">
        <is>
          <t>추정</t>
        </is>
      </c>
      <c r="L3" s="7" t="inlineStr">
        <is>
          <t>추정</t>
        </is>
      </c>
      <c r="M3" s="7" t="inlineStr">
        <is>
          <t>추정</t>
        </is>
      </c>
    </row>
    <row r="4">
      <c r="A4" s="3" t="inlineStr">
        <is>
          <t>계정</t>
        </is>
      </c>
      <c r="B4" s="3" t="inlineStr">
        <is>
          <t>노드 id</t>
        </is>
      </c>
      <c r="C4" s="3" t="inlineStr">
        <is>
          <t>단위</t>
        </is>
      </c>
      <c r="D4" s="8" t="inlineStr">
        <is>
          <t>2021A</t>
        </is>
      </c>
      <c r="E4" s="8" t="inlineStr">
        <is>
          <t>2022A</t>
        </is>
      </c>
      <c r="F4" s="8" t="inlineStr">
        <is>
          <t>2023A</t>
        </is>
      </c>
      <c r="G4" s="8" t="inlineStr">
        <is>
          <t>2024A</t>
        </is>
      </c>
      <c r="H4" s="8" t="inlineStr">
        <is>
          <t>2025A</t>
        </is>
      </c>
      <c r="I4" s="8" t="inlineStr">
        <is>
          <t>2026E</t>
        </is>
      </c>
      <c r="J4" s="8" t="inlineStr">
        <is>
          <t>2027E</t>
        </is>
      </c>
      <c r="K4" s="8" t="inlineStr">
        <is>
          <t>2028E</t>
        </is>
      </c>
      <c r="L4" s="8" t="inlineStr">
        <is>
          <t>2029E</t>
        </is>
      </c>
      <c r="M4" s="8" t="inlineStr">
        <is>
          <t>2030E</t>
        </is>
      </c>
    </row>
    <row r="5">
      <c r="A5" s="4" t="inlineStr">
        <is>
          <t>적정 시가총액</t>
        </is>
      </c>
      <c r="B5" s="2" t="inlineStr">
        <is>
          <t>root</t>
        </is>
      </c>
      <c r="C5" s="2" t="inlineStr">
        <is>
          <t>억원</t>
        </is>
      </c>
      <c r="D5" s="14">
        <f>(D6-D57)</f>
        <v/>
      </c>
      <c r="E5" s="14">
        <f>(E6-E57)</f>
        <v/>
      </c>
      <c r="F5" s="14">
        <f>(F6-F57)</f>
        <v/>
      </c>
      <c r="G5" s="14">
        <f>(G6-G57)</f>
        <v/>
      </c>
      <c r="H5" s="14">
        <f>(H6-H57)</f>
        <v/>
      </c>
      <c r="I5" s="14">
        <f>(I6-I57)</f>
        <v/>
      </c>
      <c r="J5" s="14">
        <f>(J6-J57)</f>
        <v/>
      </c>
      <c r="K5" s="14">
        <f>(K6-K57)</f>
        <v/>
      </c>
      <c r="L5" s="14">
        <f>(L6-L57)</f>
        <v/>
      </c>
      <c r="M5" s="14">
        <f>(M6-M57)</f>
        <v/>
      </c>
    </row>
    <row r="6">
      <c r="A6" s="15" t="inlineStr">
        <is>
          <t>사업가치 (EV)</t>
        </is>
      </c>
      <c r="B6" s="2" t="inlineStr">
        <is>
          <t>ev_value</t>
        </is>
      </c>
      <c r="C6" s="2" t="inlineStr">
        <is>
          <t>억원</t>
        </is>
      </c>
      <c r="D6" s="16">
        <f>(D8*D7)</f>
        <v/>
      </c>
      <c r="E6" s="16">
        <f>(E8*E7)</f>
        <v/>
      </c>
      <c r="F6" s="16">
        <f>(F8*F7)</f>
        <v/>
      </c>
      <c r="G6" s="16">
        <f>(G8*G7)</f>
        <v/>
      </c>
      <c r="H6" s="16">
        <f>(H8*H7)</f>
        <v/>
      </c>
      <c r="I6" s="17">
        <f>(I8*I7)</f>
        <v/>
      </c>
      <c r="J6" s="17">
        <f>(J8*J7)</f>
        <v/>
      </c>
      <c r="K6" s="17">
        <f>(K8*K7)</f>
        <v/>
      </c>
      <c r="L6" s="17">
        <f>(L8*L7)</f>
        <v/>
      </c>
      <c r="M6" s="17">
        <f>(M8*M7)</f>
        <v/>
      </c>
    </row>
    <row r="7">
      <c r="A7" s="18" t="inlineStr">
        <is>
          <t>목표 EV/EBITDA</t>
        </is>
      </c>
      <c r="B7" s="2" t="inlineStr">
        <is>
          <t>target_ev_ebitda</t>
        </is>
      </c>
      <c r="C7" s="2" t="inlineStr">
        <is>
          <t>배</t>
        </is>
      </c>
      <c r="D7" s="19" t="n">
        <v>18</v>
      </c>
      <c r="E7" s="19" t="n">
        <v>18</v>
      </c>
      <c r="F7" s="19" t="n">
        <v>18</v>
      </c>
      <c r="G7" s="19" t="n">
        <v>18</v>
      </c>
      <c r="H7" s="19" t="n">
        <v>18</v>
      </c>
      <c r="I7" s="20" t="n">
        <v>18</v>
      </c>
      <c r="J7" s="20" t="n">
        <v>18</v>
      </c>
      <c r="K7" s="20" t="n">
        <v>18</v>
      </c>
      <c r="L7" s="20" t="n">
        <v>18</v>
      </c>
      <c r="M7" s="20" t="n">
        <v>18</v>
      </c>
    </row>
    <row r="8">
      <c r="A8" s="18" t="inlineStr">
        <is>
          <t>EBITDA</t>
        </is>
      </c>
      <c r="B8" s="2" t="inlineStr">
        <is>
          <t>ebitda</t>
        </is>
      </c>
      <c r="C8" s="2" t="inlineStr">
        <is>
          <t>억원</t>
        </is>
      </c>
      <c r="D8" s="16">
        <f>(D10+D9)</f>
        <v/>
      </c>
      <c r="E8" s="16">
        <f>(E10+E9)</f>
        <v/>
      </c>
      <c r="F8" s="16">
        <f>(F10+F9)</f>
        <v/>
      </c>
      <c r="G8" s="16">
        <f>(G10+G9)</f>
        <v/>
      </c>
      <c r="H8" s="16">
        <f>(H10+H9)</f>
        <v/>
      </c>
      <c r="I8" s="17">
        <f>(I10+I9)</f>
        <v/>
      </c>
      <c r="J8" s="17">
        <f>(J10+J9)</f>
        <v/>
      </c>
      <c r="K8" s="17">
        <f>(K10+K9)</f>
        <v/>
      </c>
      <c r="L8" s="17">
        <f>(L10+L9)</f>
        <v/>
      </c>
      <c r="M8" s="17">
        <f>(M10+M9)</f>
        <v/>
      </c>
    </row>
    <row r="9">
      <c r="A9" s="21" t="inlineStr">
        <is>
          <t>감가상각비 합계</t>
        </is>
      </c>
      <c r="B9" s="2" t="inlineStr">
        <is>
          <t>dep_total</t>
        </is>
      </c>
      <c r="C9" s="2" t="inlineStr">
        <is>
          <t>억원</t>
        </is>
      </c>
      <c r="D9" s="16">
        <f>((D37+D44)+D51)</f>
        <v/>
      </c>
      <c r="E9" s="16">
        <f>((E37+E44)+E51)</f>
        <v/>
      </c>
      <c r="F9" s="16">
        <f>((F37+F44)+F51)</f>
        <v/>
      </c>
      <c r="G9" s="16">
        <f>((G37+G44)+G51)</f>
        <v/>
      </c>
      <c r="H9" s="16">
        <f>((H37+H44)+H51)</f>
        <v/>
      </c>
      <c r="I9" s="17">
        <f>((I37+I44)+I51)</f>
        <v/>
      </c>
      <c r="J9" s="17">
        <f>((J37+J44)+J51)</f>
        <v/>
      </c>
      <c r="K9" s="17">
        <f>((K37+K44)+K51)</f>
        <v/>
      </c>
      <c r="L9" s="17">
        <f>((L37+L44)+L51)</f>
        <v/>
      </c>
      <c r="M9" s="17">
        <f>((M37+M44)+M51)</f>
        <v/>
      </c>
    </row>
    <row r="10">
      <c r="A10" s="21" t="inlineStr">
        <is>
          <t>영업이익</t>
        </is>
      </c>
      <c r="B10" s="2" t="inlineStr">
        <is>
          <t>op_profit</t>
        </is>
      </c>
      <c r="C10" s="2" t="inlineStr">
        <is>
          <t>억원</t>
        </is>
      </c>
      <c r="D10" s="16">
        <f>(D22-D35)</f>
        <v/>
      </c>
      <c r="E10" s="16">
        <f>(E22-E35)</f>
        <v/>
      </c>
      <c r="F10" s="16">
        <f>(F22-F35)</f>
        <v/>
      </c>
      <c r="G10" s="16">
        <f>(G22-G35)</f>
        <v/>
      </c>
      <c r="H10" s="16">
        <f>(H22-H35)</f>
        <v/>
      </c>
      <c r="I10" s="17">
        <f>(I22-I35)</f>
        <v/>
      </c>
      <c r="J10" s="17">
        <f>(J22-J35)</f>
        <v/>
      </c>
      <c r="K10" s="17">
        <f>(K22-K35)</f>
        <v/>
      </c>
      <c r="L10" s="17">
        <f>(L22-L35)</f>
        <v/>
      </c>
      <c r="M10" s="17">
        <f>(M22-M35)</f>
        <v/>
      </c>
    </row>
    <row r="11">
      <c r="A11" s="22" t="inlineStr">
        <is>
          <t>지배주주 순이익 (참고)</t>
        </is>
      </c>
      <c r="B11" s="2" t="inlineStr">
        <is>
          <t>net_income</t>
        </is>
      </c>
      <c r="C11" s="2" t="inlineStr">
        <is>
          <t>억원</t>
        </is>
      </c>
      <c r="D11" s="16">
        <f>IF((D12&gt;0),D13,(((D10+D14)*(1-D15))*D16))</f>
        <v/>
      </c>
      <c r="E11" s="16">
        <f>IF((E12&gt;0),E13,(((E10+E14)*(1-E15))*E16))</f>
        <v/>
      </c>
      <c r="F11" s="16">
        <f>IF((F12&gt;0),F13,(((F10+F14)*(1-F15))*F16))</f>
        <v/>
      </c>
      <c r="G11" s="16">
        <f>IF((G12&gt;0),G13,(((G10+G14)*(1-G15))*G16))</f>
        <v/>
      </c>
      <c r="H11" s="16">
        <f>IF((H12&gt;0),H13,(((H10+H14)*(1-H15))*H16))</f>
        <v/>
      </c>
      <c r="I11" s="17">
        <f>IF((I12&gt;0),I13,(((I10+I14)*(1-I15))*I16))</f>
        <v/>
      </c>
      <c r="J11" s="17">
        <f>IF((J12&gt;0),J13,(((J10+J14)*(1-J15))*J16))</f>
        <v/>
      </c>
      <c r="K11" s="17">
        <f>IF((K12&gt;0),K13,(((K10+K14)*(1-K15))*K16))</f>
        <v/>
      </c>
      <c r="L11" s="17">
        <f>IF((L12&gt;0),L13,(((L10+L14)*(1-L15))*L16))</f>
        <v/>
      </c>
      <c r="M11" s="17">
        <f>IF((M12&gt;0),M13,(((M10+M14)*(1-M15))*M16))</f>
        <v/>
      </c>
    </row>
    <row r="12">
      <c r="A12" s="23" t="inlineStr">
        <is>
          <t>순이익 실적 마스크</t>
        </is>
      </c>
      <c r="B12" s="2" t="inlineStr">
        <is>
          <t>ni_hist</t>
        </is>
      </c>
      <c r="C12" s="2" t="inlineStr"/>
      <c r="D12" s="19" t="n">
        <v>1</v>
      </c>
      <c r="E12" s="19" t="n">
        <v>1</v>
      </c>
      <c r="F12" s="19" t="n">
        <v>1</v>
      </c>
      <c r="G12" s="19" t="n">
        <v>1</v>
      </c>
      <c r="H12" s="19" t="n">
        <v>1</v>
      </c>
      <c r="I12" s="20" t="n">
        <v>0</v>
      </c>
      <c r="J12" s="20" t="n">
        <v>0</v>
      </c>
      <c r="K12" s="20" t="n">
        <v>0</v>
      </c>
      <c r="L12" s="20" t="n">
        <v>0</v>
      </c>
      <c r="M12" s="20" t="n">
        <v>0</v>
      </c>
    </row>
    <row r="13">
      <c r="A13" s="23" t="inlineStr">
        <is>
          <t>순이익 실적</t>
        </is>
      </c>
      <c r="B13" s="2" t="inlineStr">
        <is>
          <t>ni_actual</t>
        </is>
      </c>
      <c r="C13" s="2" t="inlineStr">
        <is>
          <t>억원</t>
        </is>
      </c>
      <c r="D13" s="19" t="n">
        <v>8924.453169140001</v>
      </c>
      <c r="E13" s="19" t="n">
        <v>9805.51642127</v>
      </c>
      <c r="F13" s="19" t="n">
        <v>4229.56706612</v>
      </c>
      <c r="G13" s="19" t="n">
        <v>6791.30069623</v>
      </c>
      <c r="H13" s="19" t="n">
        <v>7061.1316545</v>
      </c>
      <c r="I13" s="20" t="n">
        <v>0</v>
      </c>
      <c r="J13" s="20" t="n">
        <v>0</v>
      </c>
      <c r="K13" s="20" t="n">
        <v>0</v>
      </c>
      <c r="L13" s="20" t="n">
        <v>0</v>
      </c>
      <c r="M13" s="20" t="n">
        <v>0</v>
      </c>
    </row>
    <row r="14">
      <c r="A14" s="23" t="inlineStr">
        <is>
          <t>영업외손익</t>
        </is>
      </c>
      <c r="B14" s="2" t="inlineStr">
        <is>
          <t>nonop</t>
        </is>
      </c>
      <c r="C14" s="2" t="inlineStr">
        <is>
          <t>억원</t>
        </is>
      </c>
      <c r="D14" s="19" t="n">
        <v>44.36121063</v>
      </c>
      <c r="E14" s="19" t="n">
        <v>39.92163459</v>
      </c>
      <c r="F14" s="19" t="n">
        <v>-973.06898031</v>
      </c>
      <c r="G14" s="19" t="n">
        <v>622.90189055</v>
      </c>
      <c r="H14" s="19" t="n">
        <v>-174.99805753</v>
      </c>
      <c r="I14" s="20" t="n">
        <v>-100</v>
      </c>
      <c r="J14" s="20" t="n">
        <v>-100</v>
      </c>
      <c r="K14" s="20" t="n">
        <v>-100</v>
      </c>
      <c r="L14" s="20" t="n">
        <v>-100</v>
      </c>
      <c r="M14" s="20" t="n">
        <v>-100</v>
      </c>
    </row>
    <row r="15">
      <c r="A15" s="23" t="inlineStr">
        <is>
          <t>실효세율</t>
        </is>
      </c>
      <c r="B15" s="2" t="inlineStr">
        <is>
          <t>tax_rate</t>
        </is>
      </c>
      <c r="C15" s="2" t="inlineStr">
        <is>
          <t>%</t>
        </is>
      </c>
      <c r="D15" s="24" t="n">
        <v>0</v>
      </c>
      <c r="E15" s="24" t="n">
        <v>0</v>
      </c>
      <c r="F15" s="24" t="n">
        <v>0</v>
      </c>
      <c r="G15" s="24" t="n">
        <v>0</v>
      </c>
      <c r="H15" s="24" t="n">
        <v>0</v>
      </c>
      <c r="I15" s="25" t="n">
        <v>0.18</v>
      </c>
      <c r="J15" s="25" t="n">
        <v>0.18</v>
      </c>
      <c r="K15" s="25" t="n">
        <v>0.18</v>
      </c>
      <c r="L15" s="25" t="n">
        <v>0.18</v>
      </c>
      <c r="M15" s="25" t="n">
        <v>0.18</v>
      </c>
    </row>
    <row r="16">
      <c r="A16" s="23" t="inlineStr">
        <is>
          <t>지배지분 비율</t>
        </is>
      </c>
      <c r="B16" s="2" t="inlineStr">
        <is>
          <t>ctrl_ratio</t>
        </is>
      </c>
      <c r="C16" s="2" t="inlineStr">
        <is>
          <t>%</t>
        </is>
      </c>
      <c r="D16" s="24" t="n">
        <v>0</v>
      </c>
      <c r="E16" s="24" t="n">
        <v>0</v>
      </c>
      <c r="F16" s="24" t="n">
        <v>0</v>
      </c>
      <c r="G16" s="24" t="n">
        <v>0</v>
      </c>
      <c r="H16" s="24" t="n">
        <v>0</v>
      </c>
      <c r="I16" s="25" t="n">
        <v>0.965</v>
      </c>
      <c r="J16" s="25" t="n">
        <v>0.965</v>
      </c>
      <c r="K16" s="25" t="n">
        <v>0.965</v>
      </c>
      <c r="L16" s="25" t="n">
        <v>0.965</v>
      </c>
      <c r="M16" s="25" t="n">
        <v>0.965</v>
      </c>
    </row>
    <row r="17">
      <c r="A17" s="23" t="inlineStr">
        <is>
          <t>EPS (참고)</t>
        </is>
      </c>
      <c r="B17" s="2" t="inlineStr">
        <is>
          <t>eps</t>
        </is>
      </c>
      <c r="C17" s="2" t="inlineStr">
        <is>
          <t>원</t>
        </is>
      </c>
      <c r="D17" s="16">
        <f>((D11/D18)*100)</f>
        <v/>
      </c>
      <c r="E17" s="16">
        <f>((E11/E18)*100)</f>
        <v/>
      </c>
      <c r="F17" s="16">
        <f>((F11/F18)*100)</f>
        <v/>
      </c>
      <c r="G17" s="16">
        <f>((G11/G18)*100)</f>
        <v/>
      </c>
      <c r="H17" s="16">
        <f>((H11/H18)*100)</f>
        <v/>
      </c>
      <c r="I17" s="17">
        <f>((I11/I18)*100)</f>
        <v/>
      </c>
      <c r="J17" s="17">
        <f>((J11/J18)*100)</f>
        <v/>
      </c>
      <c r="K17" s="17">
        <f>((K11/K18)*100)</f>
        <v/>
      </c>
      <c r="L17" s="17">
        <f>((L11/L18)*100)</f>
        <v/>
      </c>
      <c r="M17" s="17">
        <f>((M11/M18)*100)</f>
        <v/>
      </c>
    </row>
    <row r="18">
      <c r="A18" s="26" t="inlineStr">
        <is>
          <t>상장주식수</t>
        </is>
      </c>
      <c r="B18" s="2" t="inlineStr">
        <is>
          <t>shares</t>
        </is>
      </c>
      <c r="C18" s="2" t="inlineStr">
        <is>
          <t>백만주</t>
        </is>
      </c>
      <c r="D18" s="19" t="n">
        <v>74.693696</v>
      </c>
      <c r="E18" s="19" t="n">
        <v>74.693696</v>
      </c>
      <c r="F18" s="19" t="n">
        <v>74.693696</v>
      </c>
      <c r="G18" s="19" t="n">
        <v>74.693696</v>
      </c>
      <c r="H18" s="19" t="n">
        <v>74.693696</v>
      </c>
      <c r="I18" s="20" t="n">
        <v>74.693696</v>
      </c>
      <c r="J18" s="20" t="n">
        <v>74.693696</v>
      </c>
      <c r="K18" s="20" t="n">
        <v>74.693696</v>
      </c>
      <c r="L18" s="20" t="n">
        <v>74.693696</v>
      </c>
      <c r="M18" s="20" t="n">
        <v>74.693696</v>
      </c>
    </row>
    <row r="19">
      <c r="A19" s="26" t="inlineStr">
        <is>
          <t>DPS (참고)</t>
        </is>
      </c>
      <c r="B19" s="2" t="inlineStr">
        <is>
          <t>dps</t>
        </is>
      </c>
      <c r="C19" s="2" t="inlineStr">
        <is>
          <t>원</t>
        </is>
      </c>
      <c r="D19" s="16">
        <f>IF((D12&gt;0),D20,(D17*D21))</f>
        <v/>
      </c>
      <c r="E19" s="16">
        <f>IF((E12&gt;0),E20,(E17*E21))</f>
        <v/>
      </c>
      <c r="F19" s="16">
        <f>IF((F12&gt;0),F20,(F17*F21))</f>
        <v/>
      </c>
      <c r="G19" s="16">
        <f>IF((G12&gt;0),G20,(G17*G21))</f>
        <v/>
      </c>
      <c r="H19" s="16">
        <f>IF((H12&gt;0),H20,(H17*H21))</f>
        <v/>
      </c>
      <c r="I19" s="17">
        <f>IF((I12&gt;0),I20,(I17*I21))</f>
        <v/>
      </c>
      <c r="J19" s="17">
        <f>IF((J12&gt;0),J20,(J17*J21))</f>
        <v/>
      </c>
      <c r="K19" s="17">
        <f>IF((K12&gt;0),K20,(K17*K21))</f>
        <v/>
      </c>
      <c r="L19" s="17">
        <f>IF((L12&gt;0),L20,(L17*L21))</f>
        <v/>
      </c>
      <c r="M19" s="17">
        <f>IF((M12&gt;0),M20,(M17*M21))</f>
        <v/>
      </c>
    </row>
    <row r="20">
      <c r="A20" s="27" t="inlineStr">
        <is>
          <t>DPS 실적</t>
        </is>
      </c>
      <c r="B20" s="2" t="inlineStr">
        <is>
          <t>dps_a</t>
        </is>
      </c>
      <c r="C20" s="2" t="inlineStr">
        <is>
          <t>원</t>
        </is>
      </c>
      <c r="D20" s="19" t="n">
        <v>2100</v>
      </c>
      <c r="E20" s="19" t="n">
        <v>2100</v>
      </c>
      <c r="F20" s="19" t="n">
        <v>1150</v>
      </c>
      <c r="G20" s="19" t="n">
        <v>1800</v>
      </c>
      <c r="H20" s="19" t="n">
        <v>2350</v>
      </c>
      <c r="I20" s="20" t="n">
        <v>0</v>
      </c>
      <c r="J20" s="20" t="n">
        <v>0</v>
      </c>
      <c r="K20" s="20" t="n">
        <v>0</v>
      </c>
      <c r="L20" s="20" t="n">
        <v>0</v>
      </c>
      <c r="M20" s="20" t="n">
        <v>0</v>
      </c>
    </row>
    <row r="21">
      <c r="A21" s="27" t="inlineStr">
        <is>
          <t>배당성향</t>
        </is>
      </c>
      <c r="B21" s="2" t="inlineStr">
        <is>
          <t>payout</t>
        </is>
      </c>
      <c r="C21" s="2" t="inlineStr">
        <is>
          <t>%</t>
        </is>
      </c>
      <c r="D21" s="24" t="n">
        <v>0</v>
      </c>
      <c r="E21" s="24" t="n">
        <v>0</v>
      </c>
      <c r="F21" s="24" t="n">
        <v>0</v>
      </c>
      <c r="G21" s="24" t="n">
        <v>0</v>
      </c>
      <c r="H21" s="24" t="n">
        <v>0</v>
      </c>
      <c r="I21" s="25" t="n">
        <v>0.25</v>
      </c>
      <c r="J21" s="25" t="n">
        <v>0.25</v>
      </c>
      <c r="K21" s="25" t="n">
        <v>0.25</v>
      </c>
      <c r="L21" s="25" t="n">
        <v>0.25</v>
      </c>
      <c r="M21" s="25" t="n">
        <v>0.25</v>
      </c>
    </row>
    <row r="22">
      <c r="A22" s="22" t="inlineStr">
        <is>
          <t>매출</t>
        </is>
      </c>
      <c r="B22" s="2" t="inlineStr">
        <is>
          <t>total_revenue</t>
        </is>
      </c>
      <c r="C22" s="2" t="inlineStr">
        <is>
          <t>억원</t>
        </is>
      </c>
      <c r="D22" s="16">
        <f>((D23+D27)+D31)</f>
        <v/>
      </c>
      <c r="E22" s="16">
        <f>((E23+E27)+E31)</f>
        <v/>
      </c>
      <c r="F22" s="16">
        <f>((F23+F27)+F31)</f>
        <v/>
      </c>
      <c r="G22" s="16">
        <f>((G23+G27)+G31)</f>
        <v/>
      </c>
      <c r="H22" s="16">
        <f>((H23+H27)+H31)</f>
        <v/>
      </c>
      <c r="I22" s="17">
        <f>((I23+I27)+I31)</f>
        <v/>
      </c>
      <c r="J22" s="17">
        <f>((J23+J27)+J31)</f>
        <v/>
      </c>
      <c r="K22" s="17">
        <f>((K23+K27)+K31)</f>
        <v/>
      </c>
      <c r="L22" s="17">
        <f>((L23+L27)+L31)</f>
        <v/>
      </c>
      <c r="M22" s="17">
        <f>((M23+M27)+M31)</f>
        <v/>
      </c>
    </row>
    <row r="23">
      <c r="A23" s="23" t="inlineStr">
        <is>
          <t>① 컴포넌트</t>
        </is>
      </c>
      <c r="B23" s="2" t="inlineStr">
        <is>
          <t>component_total</t>
        </is>
      </c>
      <c r="C23" s="2" t="inlineStr">
        <is>
          <t>억원</t>
        </is>
      </c>
      <c r="D23" s="16">
        <f>IF((D24&gt;0),D24,((0*(1+D25))*(1+D26)))</f>
        <v/>
      </c>
      <c r="E23" s="16">
        <f>IF((E24&gt;0),E24,((D23*(1+E25))*(1+E26)))</f>
        <v/>
      </c>
      <c r="F23" s="16">
        <f>IF((F24&gt;0),F24,((E23*(1+F25))*(1+F26)))</f>
        <v/>
      </c>
      <c r="G23" s="16">
        <f>IF((G24&gt;0),G24,((F23*(1+G25))*(1+G26)))</f>
        <v/>
      </c>
      <c r="H23" s="16">
        <f>IF((H24&gt;0),H24,((G23*(1+H25))*(1+H26)))</f>
        <v/>
      </c>
      <c r="I23" s="17">
        <f>IF((I24&gt;0),I24,((H23*(1+I25))*(1+I26)))</f>
        <v/>
      </c>
      <c r="J23" s="17">
        <f>IF((J24&gt;0),J24,((I23*(1+J25))*(1+J26)))</f>
        <v/>
      </c>
      <c r="K23" s="17">
        <f>IF((K24&gt;0),K24,((J23*(1+K25))*(1+K26)))</f>
        <v/>
      </c>
      <c r="L23" s="17">
        <f>IF((L24&gt;0),L24,((K23*(1+L25))*(1+L26)))</f>
        <v/>
      </c>
      <c r="M23" s="17">
        <f>IF((M24&gt;0),M24,((L23*(1+M25))*(1+M26)))</f>
        <v/>
      </c>
    </row>
    <row r="24">
      <c r="A24" s="26" t="inlineStr">
        <is>
          <t>컴포넌트 실적</t>
        </is>
      </c>
      <c r="B24" s="2" t="inlineStr">
        <is>
          <t>comp_actual</t>
        </is>
      </c>
      <c r="C24" s="2" t="inlineStr">
        <is>
          <t>억원</t>
        </is>
      </c>
      <c r="D24" s="19" t="n">
        <v>47718.3</v>
      </c>
      <c r="E24" s="19" t="n">
        <v>41322.83</v>
      </c>
      <c r="F24" s="19" t="n">
        <v>39030.22</v>
      </c>
      <c r="G24" s="19" t="n">
        <v>44620.5</v>
      </c>
      <c r="H24" s="19" t="n">
        <v>51985.01</v>
      </c>
      <c r="I24" s="20" t="n">
        <v>0</v>
      </c>
      <c r="J24" s="20" t="n">
        <v>0</v>
      </c>
      <c r="K24" s="20" t="n">
        <v>0</v>
      </c>
      <c r="L24" s="20" t="n">
        <v>0</v>
      </c>
      <c r="M24" s="20" t="n">
        <v>0</v>
      </c>
    </row>
    <row r="25">
      <c r="A25" s="26" t="inlineStr">
        <is>
          <t>컴포넌트 물량 성장률</t>
        </is>
      </c>
      <c r="B25" s="2" t="inlineStr">
        <is>
          <t>comp_vol_g</t>
        </is>
      </c>
      <c r="C25" s="2" t="inlineStr">
        <is>
          <t>%</t>
        </is>
      </c>
      <c r="D25" s="24" t="n">
        <v>0</v>
      </c>
      <c r="E25" s="24" t="n">
        <v>0</v>
      </c>
      <c r="F25" s="24" t="n">
        <v>0</v>
      </c>
      <c r="G25" s="24" t="n">
        <v>0</v>
      </c>
      <c r="H25" s="24" t="n">
        <v>0</v>
      </c>
      <c r="I25" s="25" t="n">
        <v>0.14</v>
      </c>
      <c r="J25" s="25" t="n">
        <v>0.09</v>
      </c>
      <c r="K25" s="25" t="n">
        <v>0.07000000000000001</v>
      </c>
      <c r="L25" s="25" t="n">
        <v>0.05</v>
      </c>
      <c r="M25" s="25" t="n">
        <v>0.05</v>
      </c>
    </row>
    <row r="26">
      <c r="A26" s="26" t="inlineStr">
        <is>
          <t>컴포넌트 단가·믹스 성장률</t>
        </is>
      </c>
      <c r="B26" s="2" t="inlineStr">
        <is>
          <t>comp_price_g</t>
        </is>
      </c>
      <c r="C26" s="2" t="inlineStr">
        <is>
          <t>%</t>
        </is>
      </c>
      <c r="D26" s="24" t="n">
        <v>0</v>
      </c>
      <c r="E26" s="24" t="n">
        <v>0</v>
      </c>
      <c r="F26" s="24" t="n">
        <v>0</v>
      </c>
      <c r="G26" s="24" t="n">
        <v>0</v>
      </c>
      <c r="H26" s="24" t="n">
        <v>0</v>
      </c>
      <c r="I26" s="25" t="n">
        <v>0.07000000000000001</v>
      </c>
      <c r="J26" s="25" t="n">
        <v>0.04</v>
      </c>
      <c r="K26" s="25" t="n">
        <v>0.03</v>
      </c>
      <c r="L26" s="25" t="n">
        <v>0.02</v>
      </c>
      <c r="M26" s="25" t="n">
        <v>0.02</v>
      </c>
    </row>
    <row r="27">
      <c r="A27" s="23" t="inlineStr">
        <is>
          <t>② 광학솔루션</t>
        </is>
      </c>
      <c r="B27" s="2" t="inlineStr">
        <is>
          <t>optics_total</t>
        </is>
      </c>
      <c r="C27" s="2" t="inlineStr">
        <is>
          <t>억원</t>
        </is>
      </c>
      <c r="D27" s="16">
        <f>IF((D28&gt;0),D28,((0*(1+D29))*(1+D30)))</f>
        <v/>
      </c>
      <c r="E27" s="16">
        <f>IF((E28&gt;0),E28,((D27*(1+E29))*(1+E30)))</f>
        <v/>
      </c>
      <c r="F27" s="16">
        <f>IF((F28&gt;0),F28,((E27*(1+F29))*(1+F30)))</f>
        <v/>
      </c>
      <c r="G27" s="16">
        <f>IF((G28&gt;0),G28,((F27*(1+G29))*(1+G30)))</f>
        <v/>
      </c>
      <c r="H27" s="16">
        <f>IF((H28&gt;0),H28,((G27*(1+H29))*(1+H30)))</f>
        <v/>
      </c>
      <c r="I27" s="17">
        <f>IF((I28&gt;0),I28,((H27*(1+I29))*(1+I30)))</f>
        <v/>
      </c>
      <c r="J27" s="17">
        <f>IF((J28&gt;0),J28,((I27*(1+J29))*(1+J30)))</f>
        <v/>
      </c>
      <c r="K27" s="17">
        <f>IF((K28&gt;0),K28,((J27*(1+K29))*(1+K30)))</f>
        <v/>
      </c>
      <c r="L27" s="17">
        <f>IF((L28&gt;0),L28,((K27*(1+L29))*(1+L30)))</f>
        <v/>
      </c>
      <c r="M27" s="17">
        <f>IF((M28&gt;0),M28,((L27*(1+M29))*(1+M30)))</f>
        <v/>
      </c>
    </row>
    <row r="28">
      <c r="A28" s="26" t="inlineStr">
        <is>
          <t>광학 실적</t>
        </is>
      </c>
      <c r="B28" s="2" t="inlineStr">
        <is>
          <t>optics_actual</t>
        </is>
      </c>
      <c r="C28" s="2" t="inlineStr">
        <is>
          <t>억원</t>
        </is>
      </c>
      <c r="D28" s="19" t="n">
        <v>32240.56</v>
      </c>
      <c r="E28" s="19" t="n">
        <v>32039.5</v>
      </c>
      <c r="F28" s="19" t="n">
        <v>32720.12</v>
      </c>
      <c r="G28" s="19" t="n">
        <v>37973.96</v>
      </c>
      <c r="H28" s="19" t="n">
        <v>38142.05</v>
      </c>
      <c r="I28" s="20" t="n">
        <v>0</v>
      </c>
      <c r="J28" s="20" t="n">
        <v>0</v>
      </c>
      <c r="K28" s="20" t="n">
        <v>0</v>
      </c>
      <c r="L28" s="20" t="n">
        <v>0</v>
      </c>
      <c r="M28" s="20" t="n">
        <v>0</v>
      </c>
    </row>
    <row r="29">
      <c r="A29" s="26" t="inlineStr">
        <is>
          <t>광학 물량 성장률</t>
        </is>
      </c>
      <c r="B29" s="2" t="inlineStr">
        <is>
          <t>optics_vol_g</t>
        </is>
      </c>
      <c r="C29" s="2" t="inlineStr">
        <is>
          <t>%</t>
        </is>
      </c>
      <c r="D29" s="24" t="n">
        <v>0</v>
      </c>
      <c r="E29" s="24" t="n">
        <v>0</v>
      </c>
      <c r="F29" s="24" t="n">
        <v>0</v>
      </c>
      <c r="G29" s="24" t="n">
        <v>0</v>
      </c>
      <c r="H29" s="24" t="n">
        <v>0</v>
      </c>
      <c r="I29" s="25" t="n">
        <v>0.03</v>
      </c>
      <c r="J29" s="25" t="n">
        <v>0.01</v>
      </c>
      <c r="K29" s="25" t="n">
        <v>0.01</v>
      </c>
      <c r="L29" s="25" t="n">
        <v>0</v>
      </c>
      <c r="M29" s="25" t="n">
        <v>0</v>
      </c>
    </row>
    <row r="30">
      <c r="A30" s="26" t="inlineStr">
        <is>
          <t>광학 단가·믹스 성장률</t>
        </is>
      </c>
      <c r="B30" s="2" t="inlineStr">
        <is>
          <t>optics_price_g</t>
        </is>
      </c>
      <c r="C30" s="2" t="inlineStr">
        <is>
          <t>%</t>
        </is>
      </c>
      <c r="D30" s="24" t="n">
        <v>0</v>
      </c>
      <c r="E30" s="24" t="n">
        <v>0</v>
      </c>
      <c r="F30" s="24" t="n">
        <v>0</v>
      </c>
      <c r="G30" s="24" t="n">
        <v>0</v>
      </c>
      <c r="H30" s="24" t="n">
        <v>0</v>
      </c>
      <c r="I30" s="25" t="n">
        <v>0.027</v>
      </c>
      <c r="J30" s="25" t="n">
        <v>0.02</v>
      </c>
      <c r="K30" s="25" t="n">
        <v>0.02</v>
      </c>
      <c r="L30" s="25" t="n">
        <v>0.02</v>
      </c>
      <c r="M30" s="25" t="n">
        <v>0.01</v>
      </c>
    </row>
    <row r="31">
      <c r="A31" s="23" t="inlineStr">
        <is>
          <t>③ 패키지솔루션</t>
        </is>
      </c>
      <c r="B31" s="2" t="inlineStr">
        <is>
          <t>package_total</t>
        </is>
      </c>
      <c r="C31" s="2" t="inlineStr">
        <is>
          <t>억원</t>
        </is>
      </c>
      <c r="D31" s="16">
        <f>IF((D32&gt;0),D32,((0*(1+D33))*(1+D34)))</f>
        <v/>
      </c>
      <c r="E31" s="16">
        <f>IF((E32&gt;0),E32,((D31*(1+E33))*(1+E34)))</f>
        <v/>
      </c>
      <c r="F31" s="16">
        <f>IF((F32&gt;0),F32,((E31*(1+F33))*(1+F34)))</f>
        <v/>
      </c>
      <c r="G31" s="16">
        <f>IF((G32&gt;0),G32,((F31*(1+G33))*(1+G34)))</f>
        <v/>
      </c>
      <c r="H31" s="16">
        <f>IF((H32&gt;0),H32,((G31*(1+H33))*(1+H34)))</f>
        <v/>
      </c>
      <c r="I31" s="17">
        <f>IF((I32&gt;0),I32,((H31*(1+I33))*(1+I34)))</f>
        <v/>
      </c>
      <c r="J31" s="17">
        <f>IF((J32&gt;0),J32,((I31*(1+J33))*(1+J34)))</f>
        <v/>
      </c>
      <c r="K31" s="17">
        <f>IF((K32&gt;0),K32,((J31*(1+K33))*(1+K34)))</f>
        <v/>
      </c>
      <c r="L31" s="17">
        <f>IF((L32&gt;0),L32,((K31*(1+L33))*(1+L34)))</f>
        <v/>
      </c>
      <c r="M31" s="17">
        <f>IF((M32&gt;0),M32,((L31*(1+M33))*(1+M34)))</f>
        <v/>
      </c>
    </row>
    <row r="32">
      <c r="A32" s="26" t="inlineStr">
        <is>
          <t>패키지 실적</t>
        </is>
      </c>
      <c r="B32" s="2" t="inlineStr">
        <is>
          <t>pkg_actual</t>
        </is>
      </c>
      <c r="C32" s="2" t="inlineStr">
        <is>
          <t>억원</t>
        </is>
      </c>
      <c r="D32" s="19" t="n">
        <v>16791.5</v>
      </c>
      <c r="E32" s="19" t="n">
        <v>20883.19</v>
      </c>
      <c r="F32" s="19" t="n">
        <v>17173.78</v>
      </c>
      <c r="G32" s="19" t="n">
        <v>20346.57</v>
      </c>
      <c r="H32" s="19" t="n">
        <v>23017.53</v>
      </c>
      <c r="I32" s="20" t="n">
        <v>0</v>
      </c>
      <c r="J32" s="20" t="n">
        <v>0</v>
      </c>
      <c r="K32" s="20" t="n">
        <v>0</v>
      </c>
      <c r="L32" s="20" t="n">
        <v>0</v>
      </c>
      <c r="M32" s="20" t="n">
        <v>0</v>
      </c>
    </row>
    <row r="33">
      <c r="A33" s="26" t="inlineStr">
        <is>
          <t>패키지 물량 성장률</t>
        </is>
      </c>
      <c r="B33" s="2" t="inlineStr">
        <is>
          <t>pkg_vol_g</t>
        </is>
      </c>
      <c r="C33" s="2" t="inlineStr">
        <is>
          <t>%</t>
        </is>
      </c>
      <c r="D33" s="24" t="n">
        <v>0</v>
      </c>
      <c r="E33" s="24" t="n">
        <v>0</v>
      </c>
      <c r="F33" s="24" t="n">
        <v>0</v>
      </c>
      <c r="G33" s="24" t="n">
        <v>0</v>
      </c>
      <c r="H33" s="24" t="n">
        <v>0</v>
      </c>
      <c r="I33" s="25" t="n">
        <v>0.26</v>
      </c>
      <c r="J33" s="25" t="n">
        <v>0.16</v>
      </c>
      <c r="K33" s="25" t="n">
        <v>0.12</v>
      </c>
      <c r="L33" s="25" t="n">
        <v>0.09</v>
      </c>
      <c r="M33" s="25" t="n">
        <v>0.07000000000000001</v>
      </c>
    </row>
    <row r="34">
      <c r="A34" s="26" t="inlineStr">
        <is>
          <t>패키지 단가·믹스 성장률</t>
        </is>
      </c>
      <c r="B34" s="2" t="inlineStr">
        <is>
          <t>pkg_price_g</t>
        </is>
      </c>
      <c r="C34" s="2" t="inlineStr">
        <is>
          <t>%</t>
        </is>
      </c>
      <c r="D34" s="24" t="n">
        <v>0</v>
      </c>
      <c r="E34" s="24" t="n">
        <v>0</v>
      </c>
      <c r="F34" s="24" t="n">
        <v>0</v>
      </c>
      <c r="G34" s="24" t="n">
        <v>0</v>
      </c>
      <c r="H34" s="24" t="n">
        <v>0</v>
      </c>
      <c r="I34" s="25" t="n">
        <v>0.12</v>
      </c>
      <c r="J34" s="25" t="n">
        <v>0.05</v>
      </c>
      <c r="K34" s="25" t="n">
        <v>0.03</v>
      </c>
      <c r="L34" s="25" t="n">
        <v>0.02</v>
      </c>
      <c r="M34" s="25" t="n">
        <v>0.02</v>
      </c>
    </row>
    <row r="35">
      <c r="A35" s="22" t="inlineStr">
        <is>
          <t>비용</t>
        </is>
      </c>
      <c r="B35" s="2" t="inlineStr">
        <is>
          <t>total_cost</t>
        </is>
      </c>
      <c r="C35" s="2" t="inlineStr">
        <is>
          <t>억원</t>
        </is>
      </c>
      <c r="D35" s="16">
        <f>((D36+D43)+D50)</f>
        <v/>
      </c>
      <c r="E35" s="16">
        <f>((E36+E43)+E50)</f>
        <v/>
      </c>
      <c r="F35" s="16">
        <f>((F36+F43)+F50)</f>
        <v/>
      </c>
      <c r="G35" s="16">
        <f>((G36+G43)+G50)</f>
        <v/>
      </c>
      <c r="H35" s="16">
        <f>((H36+H43)+H50)</f>
        <v/>
      </c>
      <c r="I35" s="17">
        <f>((I36+I43)+I50)</f>
        <v/>
      </c>
      <c r="J35" s="17">
        <f>((J36+J43)+J50)</f>
        <v/>
      </c>
      <c r="K35" s="17">
        <f>((K36+K43)+K50)</f>
        <v/>
      </c>
      <c r="L35" s="17">
        <f>((L36+L43)+L50)</f>
        <v/>
      </c>
      <c r="M35" s="17">
        <f>((M36+M43)+M50)</f>
        <v/>
      </c>
    </row>
    <row r="36">
      <c r="A36" s="23" t="inlineStr">
        <is>
          <t>① 컴포넌트 비용</t>
        </is>
      </c>
      <c r="B36" s="2" t="inlineStr">
        <is>
          <t>comp_cost</t>
        </is>
      </c>
      <c r="C36" s="2" t="inlineStr">
        <is>
          <t>억원</t>
        </is>
      </c>
      <c r="D36" s="16">
        <f>(D37+D40)</f>
        <v/>
      </c>
      <c r="E36" s="16">
        <f>(E37+E40)</f>
        <v/>
      </c>
      <c r="F36" s="16">
        <f>(F37+F40)</f>
        <v/>
      </c>
      <c r="G36" s="16">
        <f>(G37+G40)</f>
        <v/>
      </c>
      <c r="H36" s="16">
        <f>(H37+H40)</f>
        <v/>
      </c>
      <c r="I36" s="17">
        <f>(I37+I40)</f>
        <v/>
      </c>
      <c r="J36" s="17">
        <f>(J37+J40)</f>
        <v/>
      </c>
      <c r="K36" s="17">
        <f>(K37+K40)</f>
        <v/>
      </c>
      <c r="L36" s="17">
        <f>(L37+L40)</f>
        <v/>
      </c>
      <c r="M36" s="17">
        <f>(M37+M40)</f>
        <v/>
      </c>
    </row>
    <row r="37">
      <c r="A37" s="26" t="inlineStr">
        <is>
          <t>컴포넌트 감가상각비</t>
        </is>
      </c>
      <c r="B37" s="2" t="inlineStr">
        <is>
          <t>comp_dep</t>
        </is>
      </c>
      <c r="C37" s="2" t="inlineStr">
        <is>
          <t>억원</t>
        </is>
      </c>
      <c r="D37" s="16">
        <f>IF((D38&gt;0),D38,(0*(1+D39)))</f>
        <v/>
      </c>
      <c r="E37" s="16">
        <f>IF((E38&gt;0),E38,(D37*(1+E39)))</f>
        <v/>
      </c>
      <c r="F37" s="16">
        <f>IF((F38&gt;0),F38,(E37*(1+F39)))</f>
        <v/>
      </c>
      <c r="G37" s="16">
        <f>IF((G38&gt;0),G38,(F37*(1+G39)))</f>
        <v/>
      </c>
      <c r="H37" s="16">
        <f>IF((H38&gt;0),H38,(G37*(1+H39)))</f>
        <v/>
      </c>
      <c r="I37" s="17">
        <f>IF((I38&gt;0),I38,(H37*(1+I39)))</f>
        <v/>
      </c>
      <c r="J37" s="17">
        <f>IF((J38&gt;0),J38,(I37*(1+J39)))</f>
        <v/>
      </c>
      <c r="K37" s="17">
        <f>IF((K38&gt;0),K38,(J37*(1+K39)))</f>
        <v/>
      </c>
      <c r="L37" s="17">
        <f>IF((L38&gt;0),L38,(K37*(1+L39)))</f>
        <v/>
      </c>
      <c r="M37" s="17">
        <f>IF((M38&gt;0),M38,(L37*(1+M39)))</f>
        <v/>
      </c>
    </row>
    <row r="38">
      <c r="A38" s="27" t="inlineStr">
        <is>
          <t>컴포넌트 감가 실적</t>
        </is>
      </c>
      <c r="B38" s="2" t="inlineStr">
        <is>
          <t>comp_dep_actual</t>
        </is>
      </c>
      <c r="C38" s="2" t="inlineStr">
        <is>
          <t>억원</t>
        </is>
      </c>
      <c r="D38" s="19" t="n">
        <v>5416.62</v>
      </c>
      <c r="E38" s="19" t="n">
        <v>5699</v>
      </c>
      <c r="F38" s="19" t="n">
        <v>4921.87</v>
      </c>
      <c r="G38" s="19" t="n">
        <v>4242.86</v>
      </c>
      <c r="H38" s="19" t="n">
        <v>4392.41</v>
      </c>
      <c r="I38" s="20" t="n">
        <v>0</v>
      </c>
      <c r="J38" s="20" t="n">
        <v>0</v>
      </c>
      <c r="K38" s="20" t="n">
        <v>0</v>
      </c>
      <c r="L38" s="20" t="n">
        <v>0</v>
      </c>
      <c r="M38" s="20" t="n">
        <v>0</v>
      </c>
    </row>
    <row r="39">
      <c r="A39" s="27" t="inlineStr">
        <is>
          <t>컴포넌트 감가 증가율</t>
        </is>
      </c>
      <c r="B39" s="2" t="inlineStr">
        <is>
          <t>comp_dep_g</t>
        </is>
      </c>
      <c r="C39" s="2" t="inlineStr">
        <is>
          <t>%</t>
        </is>
      </c>
      <c r="D39" s="24" t="n">
        <v>0</v>
      </c>
      <c r="E39" s="24" t="n">
        <v>0</v>
      </c>
      <c r="F39" s="24" t="n">
        <v>0</v>
      </c>
      <c r="G39" s="24" t="n">
        <v>0</v>
      </c>
      <c r="H39" s="24" t="n">
        <v>0</v>
      </c>
      <c r="I39" s="25" t="n">
        <v>-0.03</v>
      </c>
      <c r="J39" s="25" t="n">
        <v>0.02</v>
      </c>
      <c r="K39" s="25" t="n">
        <v>0.02</v>
      </c>
      <c r="L39" s="25" t="n">
        <v>0.01</v>
      </c>
      <c r="M39" s="25" t="n">
        <v>0.01</v>
      </c>
    </row>
    <row r="40">
      <c r="A40" s="26" t="inlineStr">
        <is>
          <t>컴포넌트 기타비용</t>
        </is>
      </c>
      <c r="B40" s="2" t="inlineStr">
        <is>
          <t>comp_other</t>
        </is>
      </c>
      <c r="C40" s="2" t="inlineStr">
        <is>
          <t>억원</t>
        </is>
      </c>
      <c r="D40" s="16">
        <f>IF((D41&gt;0),D41,(D23*D42))</f>
        <v/>
      </c>
      <c r="E40" s="16">
        <f>IF((E41&gt;0),E41,(E23*E42))</f>
        <v/>
      </c>
      <c r="F40" s="16">
        <f>IF((F41&gt;0),F41,(F23*F42))</f>
        <v/>
      </c>
      <c r="G40" s="16">
        <f>IF((G41&gt;0),G41,(G23*G42))</f>
        <v/>
      </c>
      <c r="H40" s="16">
        <f>IF((H41&gt;0),H41,(H23*H42))</f>
        <v/>
      </c>
      <c r="I40" s="17">
        <f>IF((I41&gt;0),I41,(I23*I42))</f>
        <v/>
      </c>
      <c r="J40" s="17">
        <f>IF((J41&gt;0),J41,(J23*J42))</f>
        <v/>
      </c>
      <c r="K40" s="17">
        <f>IF((K41&gt;0),K41,(K23*K42))</f>
        <v/>
      </c>
      <c r="L40" s="17">
        <f>IF((L41&gt;0),L41,(L23*L42))</f>
        <v/>
      </c>
      <c r="M40" s="17">
        <f>IF((M41&gt;0),M41,(M23*M42))</f>
        <v/>
      </c>
    </row>
    <row r="41">
      <c r="A41" s="27" t="inlineStr">
        <is>
          <t>컴포넌트 기타비용 실적</t>
        </is>
      </c>
      <c r="B41" s="2" t="inlineStr">
        <is>
          <t>comp_other_actual</t>
        </is>
      </c>
      <c r="C41" s="2" t="inlineStr">
        <is>
          <t>억원</t>
        </is>
      </c>
      <c r="D41" s="19" t="n">
        <v>31666.28</v>
      </c>
      <c r="E41" s="19" t="n">
        <v>29546.44</v>
      </c>
      <c r="F41" s="19" t="n">
        <v>30492.41</v>
      </c>
      <c r="G41" s="19" t="n">
        <v>35980.2</v>
      </c>
      <c r="H41" s="19" t="n">
        <v>41499.01</v>
      </c>
      <c r="I41" s="20" t="n">
        <v>0</v>
      </c>
      <c r="J41" s="20" t="n">
        <v>0</v>
      </c>
      <c r="K41" s="20" t="n">
        <v>0</v>
      </c>
      <c r="L41" s="20" t="n">
        <v>0</v>
      </c>
      <c r="M41" s="20" t="n">
        <v>0</v>
      </c>
    </row>
    <row r="42">
      <c r="A42" s="27" t="inlineStr">
        <is>
          <t>컴포넌트 기타비용률</t>
        </is>
      </c>
      <c r="B42" s="2" t="inlineStr">
        <is>
          <t>comp_other_ratio</t>
        </is>
      </c>
      <c r="C42" s="2" t="inlineStr">
        <is>
          <t>%</t>
        </is>
      </c>
      <c r="D42" s="24" t="n">
        <v>0</v>
      </c>
      <c r="E42" s="24" t="n">
        <v>0</v>
      </c>
      <c r="F42" s="24" t="n">
        <v>0</v>
      </c>
      <c r="G42" s="24" t="n">
        <v>0</v>
      </c>
      <c r="H42" s="24" t="n">
        <v>0</v>
      </c>
      <c r="I42" s="25" t="n">
        <v>0.78</v>
      </c>
      <c r="J42" s="25" t="n">
        <v>0.771</v>
      </c>
      <c r="K42" s="25" t="n">
        <v>0.764</v>
      </c>
      <c r="L42" s="25" t="n">
        <v>0.758</v>
      </c>
      <c r="M42" s="25" t="n">
        <v>0.753</v>
      </c>
    </row>
    <row r="43">
      <c r="A43" s="23" t="inlineStr">
        <is>
          <t>② 광학 비용</t>
        </is>
      </c>
      <c r="B43" s="2" t="inlineStr">
        <is>
          <t>optics_cost</t>
        </is>
      </c>
      <c r="C43" s="2" t="inlineStr">
        <is>
          <t>억원</t>
        </is>
      </c>
      <c r="D43" s="16">
        <f>(D44+D47)</f>
        <v/>
      </c>
      <c r="E43" s="16">
        <f>(E44+E47)</f>
        <v/>
      </c>
      <c r="F43" s="16">
        <f>(F44+F47)</f>
        <v/>
      </c>
      <c r="G43" s="16">
        <f>(G44+G47)</f>
        <v/>
      </c>
      <c r="H43" s="16">
        <f>(H44+H47)</f>
        <v/>
      </c>
      <c r="I43" s="17">
        <f>(I44+I47)</f>
        <v/>
      </c>
      <c r="J43" s="17">
        <f>(J44+J47)</f>
        <v/>
      </c>
      <c r="K43" s="17">
        <f>(K44+K47)</f>
        <v/>
      </c>
      <c r="L43" s="17">
        <f>(L44+L47)</f>
        <v/>
      </c>
      <c r="M43" s="17">
        <f>(M44+M47)</f>
        <v/>
      </c>
    </row>
    <row r="44">
      <c r="A44" s="26" t="inlineStr">
        <is>
          <t>광학 감가상각비</t>
        </is>
      </c>
      <c r="B44" s="2" t="inlineStr">
        <is>
          <t>optics_dep</t>
        </is>
      </c>
      <c r="C44" s="2" t="inlineStr">
        <is>
          <t>억원</t>
        </is>
      </c>
      <c r="D44" s="16">
        <f>IF((D45&gt;0),D45,(0*(1+D46)))</f>
        <v/>
      </c>
      <c r="E44" s="16">
        <f>IF((E45&gt;0),E45,(D44*(1+E46)))</f>
        <v/>
      </c>
      <c r="F44" s="16">
        <f>IF((F45&gt;0),F45,(E44*(1+F46)))</f>
        <v/>
      </c>
      <c r="G44" s="16">
        <f>IF((G45&gt;0),G45,(F44*(1+G46)))</f>
        <v/>
      </c>
      <c r="H44" s="16">
        <f>IF((H45&gt;0),H45,(G44*(1+H46)))</f>
        <v/>
      </c>
      <c r="I44" s="17">
        <f>IF((I45&gt;0),I45,(H44*(1+I46)))</f>
        <v/>
      </c>
      <c r="J44" s="17">
        <f>IF((J45&gt;0),J45,(I44*(1+J46)))</f>
        <v/>
      </c>
      <c r="K44" s="17">
        <f>IF((K45&gt;0),K45,(J44*(1+K46)))</f>
        <v/>
      </c>
      <c r="L44" s="17">
        <f>IF((L45&gt;0),L45,(K44*(1+L46)))</f>
        <v/>
      </c>
      <c r="M44" s="17">
        <f>IF((M45&gt;0),M45,(L44*(1+M46)))</f>
        <v/>
      </c>
    </row>
    <row r="45">
      <c r="A45" s="27" t="inlineStr">
        <is>
          <t>광학 감가 실적</t>
        </is>
      </c>
      <c r="B45" s="2" t="inlineStr">
        <is>
          <t>optics_dep_actual</t>
        </is>
      </c>
      <c r="C45" s="2" t="inlineStr">
        <is>
          <t>억원</t>
        </is>
      </c>
      <c r="D45" s="19" t="n">
        <v>957.36</v>
      </c>
      <c r="E45" s="19" t="n">
        <v>1209.65</v>
      </c>
      <c r="F45" s="19" t="n">
        <v>888.4400000000001</v>
      </c>
      <c r="G45" s="19" t="n">
        <v>722.89</v>
      </c>
      <c r="H45" s="19" t="n">
        <v>513.11</v>
      </c>
      <c r="I45" s="20" t="n">
        <v>0</v>
      </c>
      <c r="J45" s="20" t="n">
        <v>0</v>
      </c>
      <c r="K45" s="20" t="n">
        <v>0</v>
      </c>
      <c r="L45" s="20" t="n">
        <v>0</v>
      </c>
      <c r="M45" s="20" t="n">
        <v>0</v>
      </c>
    </row>
    <row r="46">
      <c r="A46" s="27" t="inlineStr">
        <is>
          <t>광학 감가 증가율</t>
        </is>
      </c>
      <c r="B46" s="2" t="inlineStr">
        <is>
          <t>optics_dep_g</t>
        </is>
      </c>
      <c r="C46" s="2" t="inlineStr">
        <is>
          <t>%</t>
        </is>
      </c>
      <c r="D46" s="24" t="n">
        <v>0</v>
      </c>
      <c r="E46" s="24" t="n">
        <v>0</v>
      </c>
      <c r="F46" s="24" t="n">
        <v>0</v>
      </c>
      <c r="G46" s="24" t="n">
        <v>0</v>
      </c>
      <c r="H46" s="24" t="n">
        <v>0</v>
      </c>
      <c r="I46" s="25" t="n">
        <v>0.08</v>
      </c>
      <c r="J46" s="25" t="n">
        <v>-0.02</v>
      </c>
      <c r="K46" s="25" t="n">
        <v>0</v>
      </c>
      <c r="L46" s="25" t="n">
        <v>0</v>
      </c>
      <c r="M46" s="25" t="n">
        <v>0</v>
      </c>
    </row>
    <row r="47">
      <c r="A47" s="26" t="inlineStr">
        <is>
          <t>광학 기타비용</t>
        </is>
      </c>
      <c r="B47" s="2" t="inlineStr">
        <is>
          <t>optics_other</t>
        </is>
      </c>
      <c r="C47" s="2" t="inlineStr">
        <is>
          <t>억원</t>
        </is>
      </c>
      <c r="D47" s="16">
        <f>IF((D48&gt;0),D48,(D27*D49))</f>
        <v/>
      </c>
      <c r="E47" s="16">
        <f>IF((E48&gt;0),E48,(E27*E49))</f>
        <v/>
      </c>
      <c r="F47" s="16">
        <f>IF((F48&gt;0),F48,(F27*F49))</f>
        <v/>
      </c>
      <c r="G47" s="16">
        <f>IF((G48&gt;0),G48,(G27*G49))</f>
        <v/>
      </c>
      <c r="H47" s="16">
        <f>IF((H48&gt;0),H48,(H27*H49))</f>
        <v/>
      </c>
      <c r="I47" s="17">
        <f>IF((I48&gt;0),I48,(I27*I49))</f>
        <v/>
      </c>
      <c r="J47" s="17">
        <f>IF((J48&gt;0),J48,(J27*J49))</f>
        <v/>
      </c>
      <c r="K47" s="17">
        <f>IF((K48&gt;0),K48,(K27*K49))</f>
        <v/>
      </c>
      <c r="L47" s="17">
        <f>IF((L48&gt;0),L48,(L27*L49))</f>
        <v/>
      </c>
      <c r="M47" s="17">
        <f>IF((M48&gt;0),M48,(M27*M49))</f>
        <v/>
      </c>
    </row>
    <row r="48">
      <c r="A48" s="27" t="inlineStr">
        <is>
          <t>광학 기타비용 실적</t>
        </is>
      </c>
      <c r="B48" s="2" t="inlineStr">
        <is>
          <t>optics_other_actual</t>
        </is>
      </c>
      <c r="C48" s="2" t="inlineStr">
        <is>
          <t>억원</t>
        </is>
      </c>
      <c r="D48" s="19" t="n">
        <v>29671.91</v>
      </c>
      <c r="E48" s="19" t="n">
        <v>29725.37</v>
      </c>
      <c r="F48" s="19" t="n">
        <v>30608.17</v>
      </c>
      <c r="G48" s="19" t="n">
        <v>35874.87</v>
      </c>
      <c r="H48" s="19" t="n">
        <v>35941.48</v>
      </c>
      <c r="I48" s="20" t="n">
        <v>0</v>
      </c>
      <c r="J48" s="20" t="n">
        <v>0</v>
      </c>
      <c r="K48" s="20" t="n">
        <v>0</v>
      </c>
      <c r="L48" s="20" t="n">
        <v>0</v>
      </c>
      <c r="M48" s="20" t="n">
        <v>0</v>
      </c>
    </row>
    <row r="49">
      <c r="A49" s="27" t="inlineStr">
        <is>
          <t>광학 기타비용률</t>
        </is>
      </c>
      <c r="B49" s="2" t="inlineStr">
        <is>
          <t>optics_other_ratio</t>
        </is>
      </c>
      <c r="C49" s="2" t="inlineStr">
        <is>
          <t>%</t>
        </is>
      </c>
      <c r="D49" s="24" t="n">
        <v>0</v>
      </c>
      <c r="E49" s="24" t="n">
        <v>0</v>
      </c>
      <c r="F49" s="24" t="n">
        <v>0</v>
      </c>
      <c r="G49" s="24" t="n">
        <v>0</v>
      </c>
      <c r="H49" s="24" t="n">
        <v>0</v>
      </c>
      <c r="I49" s="25" t="n">
        <v>0.93</v>
      </c>
      <c r="J49" s="25" t="n">
        <v>0.931</v>
      </c>
      <c r="K49" s="25" t="n">
        <v>0.9320000000000001</v>
      </c>
      <c r="L49" s="25" t="n">
        <v>0.9330000000000001</v>
      </c>
      <c r="M49" s="25" t="n">
        <v>0.9330000000000001</v>
      </c>
    </row>
    <row r="50">
      <c r="A50" s="23" t="inlineStr">
        <is>
          <t>③ 패키지 비용</t>
        </is>
      </c>
      <c r="B50" s="2" t="inlineStr">
        <is>
          <t>pkg_cost</t>
        </is>
      </c>
      <c r="C50" s="2" t="inlineStr">
        <is>
          <t>억원</t>
        </is>
      </c>
      <c r="D50" s="16">
        <f>(D51+D54)</f>
        <v/>
      </c>
      <c r="E50" s="16">
        <f>(E51+E54)</f>
        <v/>
      </c>
      <c r="F50" s="16">
        <f>(F51+F54)</f>
        <v/>
      </c>
      <c r="G50" s="16">
        <f>(G51+G54)</f>
        <v/>
      </c>
      <c r="H50" s="16">
        <f>(H51+H54)</f>
        <v/>
      </c>
      <c r="I50" s="17">
        <f>(I51+I54)</f>
        <v/>
      </c>
      <c r="J50" s="17">
        <f>(J51+J54)</f>
        <v/>
      </c>
      <c r="K50" s="17">
        <f>(K51+K54)</f>
        <v/>
      </c>
      <c r="L50" s="17">
        <f>(L51+L54)</f>
        <v/>
      </c>
      <c r="M50" s="17">
        <f>(M51+M54)</f>
        <v/>
      </c>
    </row>
    <row r="51">
      <c r="A51" s="26" t="inlineStr">
        <is>
          <t>패키지 감가상각비</t>
        </is>
      </c>
      <c r="B51" s="2" t="inlineStr">
        <is>
          <t>pkg_dep</t>
        </is>
      </c>
      <c r="C51" s="2" t="inlineStr">
        <is>
          <t>억원</t>
        </is>
      </c>
      <c r="D51" s="16">
        <f>IF((D52&gt;0),D52,(0*(1+D53)))</f>
        <v/>
      </c>
      <c r="E51" s="16">
        <f>IF((E52&gt;0),E52,(D51*(1+E53)))</f>
        <v/>
      </c>
      <c r="F51" s="16">
        <f>IF((F52&gt;0),F52,(E51*(1+F53)))</f>
        <v/>
      </c>
      <c r="G51" s="16">
        <f>IF((G52&gt;0),G52,(F51*(1+G53)))</f>
        <v/>
      </c>
      <c r="H51" s="16">
        <f>IF((H52&gt;0),H52,(G51*(1+H53)))</f>
        <v/>
      </c>
      <c r="I51" s="17">
        <f>IF((I52&gt;0),I52,(H51*(1+I53)))</f>
        <v/>
      </c>
      <c r="J51" s="17">
        <f>IF((J52&gt;0),J52,(I51*(1+J53)))</f>
        <v/>
      </c>
      <c r="K51" s="17">
        <f>IF((K52&gt;0),K52,(J51*(1+K53)))</f>
        <v/>
      </c>
      <c r="L51" s="17">
        <f>IF((L52&gt;0),L52,(K51*(1+L53)))</f>
        <v/>
      </c>
      <c r="M51" s="17">
        <f>IF((M52&gt;0),M52,(L51*(1+M53)))</f>
        <v/>
      </c>
    </row>
    <row r="52">
      <c r="A52" s="27" t="inlineStr">
        <is>
          <t>패키지 감가 실적</t>
        </is>
      </c>
      <c r="B52" s="2" t="inlineStr">
        <is>
          <t>pkg_dep_actual</t>
        </is>
      </c>
      <c r="C52" s="2" t="inlineStr">
        <is>
          <t>억원</t>
        </is>
      </c>
      <c r="D52" s="19" t="n">
        <v>1119.2</v>
      </c>
      <c r="E52" s="19" t="n">
        <v>1165.95</v>
      </c>
      <c r="F52" s="19" t="n">
        <v>1843.56</v>
      </c>
      <c r="G52" s="19" t="n">
        <v>2673.14</v>
      </c>
      <c r="H52" s="19" t="n">
        <v>3726.62</v>
      </c>
      <c r="I52" s="20" t="n">
        <v>0</v>
      </c>
      <c r="J52" s="20" t="n">
        <v>0</v>
      </c>
      <c r="K52" s="20" t="n">
        <v>0</v>
      </c>
      <c r="L52" s="20" t="n">
        <v>0</v>
      </c>
      <c r="M52" s="20" t="n">
        <v>0</v>
      </c>
    </row>
    <row r="53">
      <c r="A53" s="27" t="inlineStr">
        <is>
          <t>패키지 감가 증가율</t>
        </is>
      </c>
      <c r="B53" s="2" t="inlineStr">
        <is>
          <t>pkg_dep_g</t>
        </is>
      </c>
      <c r="C53" s="2" t="inlineStr">
        <is>
          <t>%</t>
        </is>
      </c>
      <c r="D53" s="24" t="n">
        <v>0</v>
      </c>
      <c r="E53" s="24" t="n">
        <v>0</v>
      </c>
      <c r="F53" s="24" t="n">
        <v>0</v>
      </c>
      <c r="G53" s="24" t="n">
        <v>0</v>
      </c>
      <c r="H53" s="24" t="n">
        <v>0</v>
      </c>
      <c r="I53" s="25" t="n">
        <v>0.18</v>
      </c>
      <c r="J53" s="25" t="n">
        <v>0.1</v>
      </c>
      <c r="K53" s="25" t="n">
        <v>0.06</v>
      </c>
      <c r="L53" s="25" t="n">
        <v>0.03</v>
      </c>
      <c r="M53" s="25" t="n">
        <v>0.02</v>
      </c>
    </row>
    <row r="54">
      <c r="A54" s="26" t="inlineStr">
        <is>
          <t>패키지 기타비용</t>
        </is>
      </c>
      <c r="B54" s="2" t="inlineStr">
        <is>
          <t>pkg_other</t>
        </is>
      </c>
      <c r="C54" s="2" t="inlineStr">
        <is>
          <t>억원</t>
        </is>
      </c>
      <c r="D54" s="16">
        <f>IF((D55&gt;0),D55,(D31*D56))</f>
        <v/>
      </c>
      <c r="E54" s="16">
        <f>IF((E55&gt;0),E55,(E31*E56))</f>
        <v/>
      </c>
      <c r="F54" s="16">
        <f>IF((F55&gt;0),F55,(F31*F56))</f>
        <v/>
      </c>
      <c r="G54" s="16">
        <f>IF((G55&gt;0),G55,(G31*G56))</f>
        <v/>
      </c>
      <c r="H54" s="16">
        <f>IF((H55&gt;0),H55,(H31*H56))</f>
        <v/>
      </c>
      <c r="I54" s="17">
        <f>IF((I55&gt;0),I55,(I31*I56))</f>
        <v/>
      </c>
      <c r="J54" s="17">
        <f>IF((J55&gt;0),J55,(J31*J56))</f>
        <v/>
      </c>
      <c r="K54" s="17">
        <f>IF((K55&gt;0),K55,(K31*K56))</f>
        <v/>
      </c>
      <c r="L54" s="17">
        <f>IF((L55&gt;0),L55,(L31*L56))</f>
        <v/>
      </c>
      <c r="M54" s="17">
        <f>IF((M55&gt;0),M55,(M31*M56))</f>
        <v/>
      </c>
    </row>
    <row r="55">
      <c r="A55" s="27" t="inlineStr">
        <is>
          <t>패키지 기타비용 실적</t>
        </is>
      </c>
      <c r="B55" s="2" t="inlineStr">
        <is>
          <t>pkg_other_actual</t>
        </is>
      </c>
      <c r="C55" s="2" t="inlineStr">
        <is>
          <t>억원</t>
        </is>
      </c>
      <c r="D55" s="19" t="n">
        <v>13050.26</v>
      </c>
      <c r="E55" s="19" t="n">
        <v>15070.75</v>
      </c>
      <c r="F55" s="19" t="n">
        <v>13564.23</v>
      </c>
      <c r="G55" s="19" t="n">
        <v>16097.01</v>
      </c>
      <c r="H55" s="19" t="n">
        <v>17938.65</v>
      </c>
      <c r="I55" s="20" t="n">
        <v>0</v>
      </c>
      <c r="J55" s="20" t="n">
        <v>0</v>
      </c>
      <c r="K55" s="20" t="n">
        <v>0</v>
      </c>
      <c r="L55" s="20" t="n">
        <v>0</v>
      </c>
      <c r="M55" s="20" t="n">
        <v>0</v>
      </c>
    </row>
    <row r="56">
      <c r="A56" s="27" t="inlineStr">
        <is>
          <t>패키지 기타비용률</t>
        </is>
      </c>
      <c r="B56" s="2" t="inlineStr">
        <is>
          <t>pkg_other_ratio</t>
        </is>
      </c>
      <c r="C56" s="2" t="inlineStr">
        <is>
          <t>%</t>
        </is>
      </c>
      <c r="D56" s="24" t="n">
        <v>0</v>
      </c>
      <c r="E56" s="24" t="n">
        <v>0</v>
      </c>
      <c r="F56" s="24" t="n">
        <v>0</v>
      </c>
      <c r="G56" s="24" t="n">
        <v>0</v>
      </c>
      <c r="H56" s="24" t="n">
        <v>0</v>
      </c>
      <c r="I56" s="25" t="n">
        <v>0.74</v>
      </c>
      <c r="J56" s="25" t="n">
        <v>0.73</v>
      </c>
      <c r="K56" s="25" t="n">
        <v>0.722</v>
      </c>
      <c r="L56" s="25" t="n">
        <v>0.716</v>
      </c>
      <c r="M56" s="25" t="n">
        <v>0.711</v>
      </c>
    </row>
    <row r="57">
      <c r="A57" s="15" t="inlineStr">
        <is>
          <t>순차입금</t>
        </is>
      </c>
      <c r="B57" s="2" t="inlineStr">
        <is>
          <t>net_debt</t>
        </is>
      </c>
      <c r="C57" s="2" t="inlineStr">
        <is>
          <t>억원</t>
        </is>
      </c>
      <c r="D57" s="19" t="n">
        <v>-1928</v>
      </c>
      <c r="E57" s="19" t="n">
        <v>-2558</v>
      </c>
      <c r="F57" s="19" t="n">
        <v>-1477</v>
      </c>
      <c r="G57" s="19" t="n">
        <v>-4554</v>
      </c>
      <c r="H57" s="19" t="n">
        <v>-5094</v>
      </c>
      <c r="I57" s="20" t="n">
        <v>-5094</v>
      </c>
      <c r="J57" s="20" t="n">
        <v>-5094</v>
      </c>
      <c r="K57" s="20" t="n">
        <v>-5094</v>
      </c>
      <c r="L57" s="20" t="n">
        <v>-5094</v>
      </c>
      <c r="M57" s="20" t="n">
        <v>-5094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cols>
    <col width="22" customWidth="1" min="1" max="1"/>
    <col width="26" customWidth="1" min="2" max="2"/>
    <col width="6" customWidth="1" min="3" max="3"/>
    <col width="60" customWidth="1" min="4" max="4"/>
    <col width="60" customWidth="1" min="5" max="5"/>
  </cols>
  <sheetData>
    <row r="1">
      <c r="A1" s="1" t="inlineStr">
        <is>
          <t>수식 감사</t>
        </is>
      </c>
    </row>
    <row r="2">
      <c r="A2" s="2" t="inlineStr">
        <is>
          <t>모델 원식 ↔ Excel 셀 수식 대조. 변환은 엔진의 astToExcel이 담당한다.</t>
        </is>
      </c>
    </row>
    <row r="4">
      <c r="A4" s="3" t="inlineStr">
        <is>
          <t>노드 id</t>
        </is>
      </c>
      <c r="B4" s="3" t="inlineStr">
        <is>
          <t>계정</t>
        </is>
      </c>
      <c r="C4" s="3" t="inlineStr">
        <is>
          <t>행</t>
        </is>
      </c>
      <c r="D4" s="3" t="inlineStr">
        <is>
          <t>모델 원식</t>
        </is>
      </c>
      <c r="E4" s="3" t="inlineStr">
        <is>
          <t>첫 추정연도 셀 수식</t>
        </is>
      </c>
    </row>
    <row r="5">
      <c r="A5" s="2" t="inlineStr">
        <is>
          <t>root</t>
        </is>
      </c>
      <c r="B5" s="5" t="inlineStr">
        <is>
          <t>적정 시가총액</t>
        </is>
      </c>
      <c r="C5" s="2" t="n">
        <v>5</v>
      </c>
      <c r="D5" s="28" t="inlineStr">
        <is>
          <t>ev_value - net_debt</t>
        </is>
      </c>
      <c r="E5" s="11" t="inlineStr">
        <is>
          <t>'=(I6-I57)</t>
        </is>
      </c>
    </row>
    <row r="6">
      <c r="A6" s="2" t="inlineStr">
        <is>
          <t>ev_value</t>
        </is>
      </c>
      <c r="B6" s="5" t="inlineStr">
        <is>
          <t>사업가치 (EV)</t>
        </is>
      </c>
      <c r="C6" s="2" t="n">
        <v>6</v>
      </c>
      <c r="D6" s="28" t="inlineStr">
        <is>
          <t>ebitda * target_ev_ebitda</t>
        </is>
      </c>
      <c r="E6" s="11" t="inlineStr">
        <is>
          <t>'=(I8*I7)</t>
        </is>
      </c>
    </row>
    <row r="7">
      <c r="A7" s="2" t="inlineStr">
        <is>
          <t>ebitda</t>
        </is>
      </c>
      <c r="B7" s="5" t="inlineStr">
        <is>
          <t>EBITDA</t>
        </is>
      </c>
      <c r="C7" s="2" t="n">
        <v>8</v>
      </c>
      <c r="D7" s="28" t="inlineStr">
        <is>
          <t>op_profit + dep_total</t>
        </is>
      </c>
      <c r="E7" s="11" t="inlineStr">
        <is>
          <t>'=(I10+I9)</t>
        </is>
      </c>
    </row>
    <row r="8">
      <c r="A8" s="2" t="inlineStr">
        <is>
          <t>dep_total</t>
        </is>
      </c>
      <c r="B8" s="5" t="inlineStr">
        <is>
          <t>감가상각비 합계</t>
        </is>
      </c>
      <c r="C8" s="2" t="n">
        <v>9</v>
      </c>
      <c r="D8" s="28" t="inlineStr">
        <is>
          <t>comp_dep + optics_dep + pkg_dep</t>
        </is>
      </c>
      <c r="E8" s="11" t="inlineStr">
        <is>
          <t>'=((I37+I44)+I51)</t>
        </is>
      </c>
    </row>
    <row r="9">
      <c r="A9" s="2" t="inlineStr">
        <is>
          <t>op_profit</t>
        </is>
      </c>
      <c r="B9" s="5" t="inlineStr">
        <is>
          <t>영업이익</t>
        </is>
      </c>
      <c r="C9" s="2" t="n">
        <v>10</v>
      </c>
      <c r="D9" s="28" t="inlineStr">
        <is>
          <t>total_revenue - total_cost</t>
        </is>
      </c>
      <c r="E9" s="11" t="inlineStr">
        <is>
          <t>'=(I22-I35)</t>
        </is>
      </c>
    </row>
    <row r="10">
      <c r="A10" s="2" t="inlineStr">
        <is>
          <t>net_income</t>
        </is>
      </c>
      <c r="B10" s="5" t="inlineStr">
        <is>
          <t>지배주주 순이익 (참고)</t>
        </is>
      </c>
      <c r="C10" s="2" t="n">
        <v>11</v>
      </c>
      <c r="D10" s="28" t="inlineStr">
        <is>
          <t>IF(ni_hist &gt; 0, ni_actual, (op_profit + nonop) * (1 - tax_rate) * ctrl_ratio)</t>
        </is>
      </c>
      <c r="E10" s="11" t="inlineStr">
        <is>
          <t>'=IF((I12&gt;0),I13,(((I10+I14)*(1-I15))*I16))</t>
        </is>
      </c>
    </row>
    <row r="11">
      <c r="A11" s="2" t="inlineStr">
        <is>
          <t>eps</t>
        </is>
      </c>
      <c r="B11" s="5" t="inlineStr">
        <is>
          <t>EPS (참고)</t>
        </is>
      </c>
      <c r="C11" s="2" t="n">
        <v>17</v>
      </c>
      <c r="D11" s="28" t="inlineStr">
        <is>
          <t>net_income / shares * 100</t>
        </is>
      </c>
      <c r="E11" s="11" t="inlineStr">
        <is>
          <t>'=((I11/I18)*100)</t>
        </is>
      </c>
    </row>
    <row r="12">
      <c r="A12" s="2" t="inlineStr">
        <is>
          <t>dps</t>
        </is>
      </c>
      <c r="B12" s="5" t="inlineStr">
        <is>
          <t>DPS (참고)</t>
        </is>
      </c>
      <c r="C12" s="2" t="n">
        <v>19</v>
      </c>
      <c r="D12" s="28" t="inlineStr">
        <is>
          <t>IF(ni_hist &gt; 0, dps_a, eps * payout)</t>
        </is>
      </c>
      <c r="E12" s="11" t="inlineStr">
        <is>
          <t>'=IF((I12&gt;0),I20,(I17*I21))</t>
        </is>
      </c>
    </row>
    <row r="13">
      <c r="A13" s="2" t="inlineStr">
        <is>
          <t>total_revenue</t>
        </is>
      </c>
      <c r="B13" s="5" t="inlineStr">
        <is>
          <t>매출</t>
        </is>
      </c>
      <c r="C13" s="2" t="n">
        <v>22</v>
      </c>
      <c r="D13" s="28" t="inlineStr">
        <is>
          <t>component_total + optics_total + package_total</t>
        </is>
      </c>
      <c r="E13" s="11" t="inlineStr">
        <is>
          <t>'=((I23+I27)+I31)</t>
        </is>
      </c>
    </row>
    <row r="14">
      <c r="A14" s="2" t="inlineStr">
        <is>
          <t>component_total</t>
        </is>
      </c>
      <c r="B14" s="5" t="inlineStr">
        <is>
          <t>① 컴포넌트</t>
        </is>
      </c>
      <c r="C14" s="2" t="n">
        <v>23</v>
      </c>
      <c r="D14" s="28" t="inlineStr">
        <is>
          <t>IF(comp_actual &gt; 0, comp_actual, PREV(component_total) * (1 + comp_vol_g) * (1 + comp_price_g))</t>
        </is>
      </c>
      <c r="E14" s="11" t="inlineStr">
        <is>
          <t>'=IF((I24&gt;0),I24,((H23*(1+I25))*(1+I26)))</t>
        </is>
      </c>
    </row>
    <row r="15">
      <c r="A15" s="2" t="inlineStr">
        <is>
          <t>optics_total</t>
        </is>
      </c>
      <c r="B15" s="5" t="inlineStr">
        <is>
          <t>② 광학솔루션</t>
        </is>
      </c>
      <c r="C15" s="2" t="n">
        <v>27</v>
      </c>
      <c r="D15" s="28" t="inlineStr">
        <is>
          <t>IF(optics_actual &gt; 0, optics_actual, PREV(optics_total) * (1 + optics_vol_g) * (1 + optics_price_g))</t>
        </is>
      </c>
      <c r="E15" s="11" t="inlineStr">
        <is>
          <t>'=IF((I28&gt;0),I28,((H27*(1+I29))*(1+I30)))</t>
        </is>
      </c>
    </row>
    <row r="16">
      <c r="A16" s="2" t="inlineStr">
        <is>
          <t>package_total</t>
        </is>
      </c>
      <c r="B16" s="5" t="inlineStr">
        <is>
          <t>③ 패키지솔루션</t>
        </is>
      </c>
      <c r="C16" s="2" t="n">
        <v>31</v>
      </c>
      <c r="D16" s="28" t="inlineStr">
        <is>
          <t>IF(pkg_actual &gt; 0, pkg_actual, PREV(package_total) * (1 + pkg_vol_g) * (1 + pkg_price_g))</t>
        </is>
      </c>
      <c r="E16" s="11" t="inlineStr">
        <is>
          <t>'=IF((I32&gt;0),I32,((H31*(1+I33))*(1+I34)))</t>
        </is>
      </c>
    </row>
    <row r="17">
      <c r="A17" s="2" t="inlineStr">
        <is>
          <t>total_cost</t>
        </is>
      </c>
      <c r="B17" s="5" t="inlineStr">
        <is>
          <t>비용</t>
        </is>
      </c>
      <c r="C17" s="2" t="n">
        <v>35</v>
      </c>
      <c r="D17" s="28" t="inlineStr">
        <is>
          <t>comp_cost + optics_cost + pkg_cost</t>
        </is>
      </c>
      <c r="E17" s="11" t="inlineStr">
        <is>
          <t>'=((I36+I43)+I50)</t>
        </is>
      </c>
    </row>
    <row r="18">
      <c r="A18" s="2" t="inlineStr">
        <is>
          <t>comp_cost</t>
        </is>
      </c>
      <c r="B18" s="5" t="inlineStr">
        <is>
          <t>① 컴포넌트 비용</t>
        </is>
      </c>
      <c r="C18" s="2" t="n">
        <v>36</v>
      </c>
      <c r="D18" s="28" t="inlineStr">
        <is>
          <t>comp_dep + comp_other</t>
        </is>
      </c>
      <c r="E18" s="11" t="inlineStr">
        <is>
          <t>'=(I37+I40)</t>
        </is>
      </c>
    </row>
    <row r="19">
      <c r="A19" s="2" t="inlineStr">
        <is>
          <t>comp_dep</t>
        </is>
      </c>
      <c r="B19" s="5" t="inlineStr">
        <is>
          <t>컴포넌트 감가상각비</t>
        </is>
      </c>
      <c r="C19" s="2" t="n">
        <v>37</v>
      </c>
      <c r="D19" s="28" t="inlineStr">
        <is>
          <t>IF(comp_dep_actual &gt; 0, comp_dep_actual, PREV(comp_dep) * (1 + comp_dep_g))</t>
        </is>
      </c>
      <c r="E19" s="11" t="inlineStr">
        <is>
          <t>'=IF((I38&gt;0),I38,(H37*(1+I39)))</t>
        </is>
      </c>
    </row>
    <row r="20">
      <c r="A20" s="2" t="inlineStr">
        <is>
          <t>comp_other</t>
        </is>
      </c>
      <c r="B20" s="5" t="inlineStr">
        <is>
          <t>컴포넌트 기타비용</t>
        </is>
      </c>
      <c r="C20" s="2" t="n">
        <v>40</v>
      </c>
      <c r="D20" s="28" t="inlineStr">
        <is>
          <t>IF(comp_other_actual &gt; 0, comp_other_actual, component_total * comp_other_ratio)</t>
        </is>
      </c>
      <c r="E20" s="11" t="inlineStr">
        <is>
          <t>'=IF((I41&gt;0),I41,(I23*I42))</t>
        </is>
      </c>
    </row>
    <row r="21">
      <c r="A21" s="2" t="inlineStr">
        <is>
          <t>optics_cost</t>
        </is>
      </c>
      <c r="B21" s="5" t="inlineStr">
        <is>
          <t>② 광학 비용</t>
        </is>
      </c>
      <c r="C21" s="2" t="n">
        <v>43</v>
      </c>
      <c r="D21" s="28" t="inlineStr">
        <is>
          <t>optics_dep + optics_other</t>
        </is>
      </c>
      <c r="E21" s="11" t="inlineStr">
        <is>
          <t>'=(I44+I47)</t>
        </is>
      </c>
    </row>
    <row r="22">
      <c r="A22" s="2" t="inlineStr">
        <is>
          <t>optics_dep</t>
        </is>
      </c>
      <c r="B22" s="5" t="inlineStr">
        <is>
          <t>광학 감가상각비</t>
        </is>
      </c>
      <c r="C22" s="2" t="n">
        <v>44</v>
      </c>
      <c r="D22" s="28" t="inlineStr">
        <is>
          <t>IF(optics_dep_actual &gt; 0, optics_dep_actual, PREV(optics_dep) * (1 + optics_dep_g))</t>
        </is>
      </c>
      <c r="E22" s="11" t="inlineStr">
        <is>
          <t>'=IF((I45&gt;0),I45,(H44*(1+I46)))</t>
        </is>
      </c>
    </row>
    <row r="23">
      <c r="A23" s="2" t="inlineStr">
        <is>
          <t>optics_other</t>
        </is>
      </c>
      <c r="B23" s="5" t="inlineStr">
        <is>
          <t>광학 기타비용</t>
        </is>
      </c>
      <c r="C23" s="2" t="n">
        <v>47</v>
      </c>
      <c r="D23" s="28" t="inlineStr">
        <is>
          <t>IF(optics_other_actual &gt; 0, optics_other_actual, optics_total * optics_other_ratio)</t>
        </is>
      </c>
      <c r="E23" s="11" t="inlineStr">
        <is>
          <t>'=IF((I48&gt;0),I48,(I27*I49))</t>
        </is>
      </c>
    </row>
    <row r="24">
      <c r="A24" s="2" t="inlineStr">
        <is>
          <t>pkg_cost</t>
        </is>
      </c>
      <c r="B24" s="5" t="inlineStr">
        <is>
          <t>③ 패키지 비용</t>
        </is>
      </c>
      <c r="C24" s="2" t="n">
        <v>50</v>
      </c>
      <c r="D24" s="28" t="inlineStr">
        <is>
          <t>pkg_dep + pkg_other</t>
        </is>
      </c>
      <c r="E24" s="11" t="inlineStr">
        <is>
          <t>'=(I51+I54)</t>
        </is>
      </c>
    </row>
    <row r="25">
      <c r="A25" s="2" t="inlineStr">
        <is>
          <t>pkg_dep</t>
        </is>
      </c>
      <c r="B25" s="5" t="inlineStr">
        <is>
          <t>패키지 감가상각비</t>
        </is>
      </c>
      <c r="C25" s="2" t="n">
        <v>51</v>
      </c>
      <c r="D25" s="28" t="inlineStr">
        <is>
          <t>IF(pkg_dep_actual &gt; 0, pkg_dep_actual, PREV(pkg_dep) * (1 + pkg_dep_g))</t>
        </is>
      </c>
      <c r="E25" s="11" t="inlineStr">
        <is>
          <t>'=IF((I52&gt;0),I52,(H51*(1+I53)))</t>
        </is>
      </c>
    </row>
    <row r="26">
      <c r="A26" s="2" t="inlineStr">
        <is>
          <t>pkg_other</t>
        </is>
      </c>
      <c r="B26" s="5" t="inlineStr">
        <is>
          <t>패키지 기타비용</t>
        </is>
      </c>
      <c r="C26" s="2" t="n">
        <v>54</v>
      </c>
      <c r="D26" s="28" t="inlineStr">
        <is>
          <t>IF(pkg_other_actual &gt; 0, pkg_other_actual, package_total * pkg_other_ratio)</t>
        </is>
      </c>
      <c r="E26" s="11" t="inlineStr">
        <is>
          <t>'=IF((I55&gt;0),I55,(I31*I56))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56"/>
  <sheetViews>
    <sheetView workbookViewId="0">
      <selection activeCell="A1" sqref="A1"/>
    </sheetView>
  </sheetViews>
  <sheetFormatPr baseColWidth="8" defaultRowHeight="15"/>
  <cols>
    <col width="22" customWidth="1" min="1" max="1"/>
    <col width="30" customWidth="1" min="2" max="2"/>
    <col width="7" customWidth="1" min="3" max="3"/>
    <col width="12" customWidth="1" min="4" max="4"/>
    <col width="9" customWidth="1" min="5" max="5"/>
    <col width="7" customWidth="1" min="6" max="6"/>
    <col width="12" customWidth="1" min="7" max="7"/>
  </cols>
  <sheetData>
    <row r="1">
      <c r="A1" s="1" t="inlineStr">
        <is>
          <t>트리 구조</t>
        </is>
      </c>
    </row>
    <row r="3">
      <c r="A3" s="3" t="inlineStr">
        <is>
          <t>노드 id</t>
        </is>
      </c>
      <c r="B3" s="3" t="inlineStr">
        <is>
          <t>계정</t>
        </is>
      </c>
      <c r="C3" s="3" t="inlineStr">
        <is>
          <t>깊이</t>
        </is>
      </c>
      <c r="D3" s="3" t="inlineStr">
        <is>
          <t>유형</t>
        </is>
      </c>
      <c r="E3" s="3" t="inlineStr">
        <is>
          <t>합계형</t>
        </is>
      </c>
      <c r="F3" s="3" t="inlineStr">
        <is>
          <t>행</t>
        </is>
      </c>
      <c r="G3" s="3" t="inlineStr">
        <is>
          <t>단위</t>
        </is>
      </c>
    </row>
    <row r="4">
      <c r="A4" s="2" t="inlineStr">
        <is>
          <t>root</t>
        </is>
      </c>
      <c r="B4" t="inlineStr">
        <is>
          <t>적정 시가총액</t>
        </is>
      </c>
      <c r="C4" t="n">
        <v>0</v>
      </c>
      <c r="D4" t="inlineStr">
        <is>
          <t>computed</t>
        </is>
      </c>
      <c r="E4" t="inlineStr"/>
      <c r="F4" t="n">
        <v>5</v>
      </c>
      <c r="G4" t="inlineStr">
        <is>
          <t>억원</t>
        </is>
      </c>
    </row>
    <row r="5">
      <c r="A5" s="2" t="inlineStr">
        <is>
          <t>ev_value</t>
        </is>
      </c>
      <c r="B5" s="29" t="inlineStr">
        <is>
          <t>사업가치 (EV)</t>
        </is>
      </c>
      <c r="C5" t="n">
        <v>1</v>
      </c>
      <c r="D5" t="inlineStr">
        <is>
          <t>computed</t>
        </is>
      </c>
      <c r="E5" t="inlineStr"/>
      <c r="F5" t="n">
        <v>6</v>
      </c>
      <c r="G5" t="inlineStr">
        <is>
          <t>억원</t>
        </is>
      </c>
    </row>
    <row r="6">
      <c r="A6" s="2" t="inlineStr">
        <is>
          <t>target_ev_ebitda</t>
        </is>
      </c>
      <c r="B6" s="30" t="inlineStr">
        <is>
          <t>목표 EV/EBITDA</t>
        </is>
      </c>
      <c r="C6" t="n">
        <v>2</v>
      </c>
      <c r="D6" t="inlineStr">
        <is>
          <t>input</t>
        </is>
      </c>
      <c r="E6" t="inlineStr"/>
      <c r="F6" t="n">
        <v>7</v>
      </c>
      <c r="G6" t="inlineStr">
        <is>
          <t>배</t>
        </is>
      </c>
    </row>
    <row r="7">
      <c r="A7" s="2" t="inlineStr">
        <is>
          <t>ebitda</t>
        </is>
      </c>
      <c r="B7" s="30" t="inlineStr">
        <is>
          <t>EBITDA</t>
        </is>
      </c>
      <c r="C7" t="n">
        <v>2</v>
      </c>
      <c r="D7" t="inlineStr">
        <is>
          <t>computed</t>
        </is>
      </c>
      <c r="E7" t="inlineStr">
        <is>
          <t>Y</t>
        </is>
      </c>
      <c r="F7" t="n">
        <v>8</v>
      </c>
      <c r="G7" t="inlineStr">
        <is>
          <t>억원</t>
        </is>
      </c>
    </row>
    <row r="8">
      <c r="A8" s="2" t="inlineStr">
        <is>
          <t>dep_total</t>
        </is>
      </c>
      <c r="B8" s="31" t="inlineStr">
        <is>
          <t>감가상각비 합계</t>
        </is>
      </c>
      <c r="C8" t="n">
        <v>3</v>
      </c>
      <c r="D8" t="inlineStr">
        <is>
          <t>computed</t>
        </is>
      </c>
      <c r="E8" t="inlineStr"/>
      <c r="F8" t="n">
        <v>9</v>
      </c>
      <c r="G8" t="inlineStr">
        <is>
          <t>억원</t>
        </is>
      </c>
    </row>
    <row r="9">
      <c r="A9" s="2" t="inlineStr">
        <is>
          <t>op_profit</t>
        </is>
      </c>
      <c r="B9" s="31" t="inlineStr">
        <is>
          <t>영업이익</t>
        </is>
      </c>
      <c r="C9" t="n">
        <v>3</v>
      </c>
      <c r="D9" t="inlineStr">
        <is>
          <t>computed</t>
        </is>
      </c>
      <c r="E9" t="inlineStr"/>
      <c r="F9" t="n">
        <v>10</v>
      </c>
      <c r="G9" t="inlineStr">
        <is>
          <t>억원</t>
        </is>
      </c>
    </row>
    <row r="10">
      <c r="A10" s="2" t="inlineStr">
        <is>
          <t>net_income</t>
        </is>
      </c>
      <c r="B10" s="32" t="inlineStr">
        <is>
          <t>지배주주 순이익 (참고)</t>
        </is>
      </c>
      <c r="C10" t="n">
        <v>4</v>
      </c>
      <c r="D10" t="inlineStr">
        <is>
          <t>computed</t>
        </is>
      </c>
      <c r="E10" t="inlineStr"/>
      <c r="F10" t="n">
        <v>11</v>
      </c>
      <c r="G10" t="inlineStr">
        <is>
          <t>억원</t>
        </is>
      </c>
    </row>
    <row r="11">
      <c r="A11" s="2" t="inlineStr">
        <is>
          <t>ni_hist</t>
        </is>
      </c>
      <c r="B11" s="33" t="inlineStr">
        <is>
          <t>순이익 실적 마스크</t>
        </is>
      </c>
      <c r="C11" t="n">
        <v>5</v>
      </c>
      <c r="D11" t="inlineStr">
        <is>
          <t>input</t>
        </is>
      </c>
      <c r="E11" t="inlineStr"/>
      <c r="F11" t="n">
        <v>12</v>
      </c>
      <c r="G11" t="inlineStr"/>
    </row>
    <row r="12">
      <c r="A12" s="2" t="inlineStr">
        <is>
          <t>ni_actual</t>
        </is>
      </c>
      <c r="B12" s="33" t="inlineStr">
        <is>
          <t>순이익 실적</t>
        </is>
      </c>
      <c r="C12" t="n">
        <v>5</v>
      </c>
      <c r="D12" t="inlineStr">
        <is>
          <t>input</t>
        </is>
      </c>
      <c r="E12" t="inlineStr"/>
      <c r="F12" t="n">
        <v>13</v>
      </c>
      <c r="G12" t="inlineStr">
        <is>
          <t>억원</t>
        </is>
      </c>
    </row>
    <row r="13">
      <c r="A13" s="2" t="inlineStr">
        <is>
          <t>nonop</t>
        </is>
      </c>
      <c r="B13" s="33" t="inlineStr">
        <is>
          <t>영업외손익</t>
        </is>
      </c>
      <c r="C13" t="n">
        <v>5</v>
      </c>
      <c r="D13" t="inlineStr">
        <is>
          <t>input</t>
        </is>
      </c>
      <c r="E13" t="inlineStr"/>
      <c r="F13" t="n">
        <v>14</v>
      </c>
      <c r="G13" t="inlineStr">
        <is>
          <t>억원</t>
        </is>
      </c>
    </row>
    <row r="14">
      <c r="A14" s="2" t="inlineStr">
        <is>
          <t>tax_rate</t>
        </is>
      </c>
      <c r="B14" s="33" t="inlineStr">
        <is>
          <t>실효세율</t>
        </is>
      </c>
      <c r="C14" t="n">
        <v>5</v>
      </c>
      <c r="D14" t="inlineStr">
        <is>
          <t>input</t>
        </is>
      </c>
      <c r="E14" t="inlineStr"/>
      <c r="F14" t="n">
        <v>15</v>
      </c>
      <c r="G14" t="inlineStr">
        <is>
          <t>%</t>
        </is>
      </c>
    </row>
    <row r="15">
      <c r="A15" s="2" t="inlineStr">
        <is>
          <t>ctrl_ratio</t>
        </is>
      </c>
      <c r="B15" s="33" t="inlineStr">
        <is>
          <t>지배지분 비율</t>
        </is>
      </c>
      <c r="C15" t="n">
        <v>5</v>
      </c>
      <c r="D15" t="inlineStr">
        <is>
          <t>input</t>
        </is>
      </c>
      <c r="E15" t="inlineStr"/>
      <c r="F15" t="n">
        <v>16</v>
      </c>
      <c r="G15" t="inlineStr">
        <is>
          <t>%</t>
        </is>
      </c>
    </row>
    <row r="16">
      <c r="A16" s="2" t="inlineStr">
        <is>
          <t>eps</t>
        </is>
      </c>
      <c r="B16" s="33" t="inlineStr">
        <is>
          <t>EPS (참고)</t>
        </is>
      </c>
      <c r="C16" t="n">
        <v>5</v>
      </c>
      <c r="D16" t="inlineStr">
        <is>
          <t>computed</t>
        </is>
      </c>
      <c r="E16" t="inlineStr"/>
      <c r="F16" t="n">
        <v>17</v>
      </c>
      <c r="G16" t="inlineStr">
        <is>
          <t>원</t>
        </is>
      </c>
    </row>
    <row r="17">
      <c r="A17" s="2" t="inlineStr">
        <is>
          <t>shares</t>
        </is>
      </c>
      <c r="B17" s="34" t="inlineStr">
        <is>
          <t>상장주식수</t>
        </is>
      </c>
      <c r="C17" t="n">
        <v>6</v>
      </c>
      <c r="D17" t="inlineStr">
        <is>
          <t>input</t>
        </is>
      </c>
      <c r="E17" t="inlineStr"/>
      <c r="F17" t="n">
        <v>18</v>
      </c>
      <c r="G17" t="inlineStr">
        <is>
          <t>백만주</t>
        </is>
      </c>
    </row>
    <row r="18">
      <c r="A18" s="2" t="inlineStr">
        <is>
          <t>dps</t>
        </is>
      </c>
      <c r="B18" s="34" t="inlineStr">
        <is>
          <t>DPS (참고)</t>
        </is>
      </c>
      <c r="C18" t="n">
        <v>6</v>
      </c>
      <c r="D18" t="inlineStr">
        <is>
          <t>computed</t>
        </is>
      </c>
      <c r="E18" t="inlineStr"/>
      <c r="F18" t="n">
        <v>19</v>
      </c>
      <c r="G18" t="inlineStr">
        <is>
          <t>원</t>
        </is>
      </c>
    </row>
    <row r="19">
      <c r="A19" s="2" t="inlineStr">
        <is>
          <t>dps_a</t>
        </is>
      </c>
      <c r="B19" s="35" t="inlineStr">
        <is>
          <t>DPS 실적</t>
        </is>
      </c>
      <c r="C19" t="n">
        <v>7</v>
      </c>
      <c r="D19" t="inlineStr">
        <is>
          <t>input</t>
        </is>
      </c>
      <c r="E19" t="inlineStr"/>
      <c r="F19" t="n">
        <v>20</v>
      </c>
      <c r="G19" t="inlineStr">
        <is>
          <t>원</t>
        </is>
      </c>
    </row>
    <row r="20">
      <c r="A20" s="2" t="inlineStr">
        <is>
          <t>payout</t>
        </is>
      </c>
      <c r="B20" s="35" t="inlineStr">
        <is>
          <t>배당성향</t>
        </is>
      </c>
      <c r="C20" t="n">
        <v>7</v>
      </c>
      <c r="D20" t="inlineStr">
        <is>
          <t>input</t>
        </is>
      </c>
      <c r="E20" t="inlineStr"/>
      <c r="F20" t="n">
        <v>21</v>
      </c>
      <c r="G20" t="inlineStr">
        <is>
          <t>%</t>
        </is>
      </c>
    </row>
    <row r="21">
      <c r="A21" s="2" t="inlineStr">
        <is>
          <t>total_revenue</t>
        </is>
      </c>
      <c r="B21" s="32" t="inlineStr">
        <is>
          <t>매출</t>
        </is>
      </c>
      <c r="C21" t="n">
        <v>4</v>
      </c>
      <c r="D21" t="inlineStr">
        <is>
          <t>computed</t>
        </is>
      </c>
      <c r="E21" t="inlineStr">
        <is>
          <t>Y</t>
        </is>
      </c>
      <c r="F21" t="n">
        <v>22</v>
      </c>
      <c r="G21" t="inlineStr">
        <is>
          <t>억원</t>
        </is>
      </c>
    </row>
    <row r="22">
      <c r="A22" s="2" t="inlineStr">
        <is>
          <t>component_total</t>
        </is>
      </c>
      <c r="B22" s="33" t="inlineStr">
        <is>
          <t>① 컴포넌트</t>
        </is>
      </c>
      <c r="C22" t="n">
        <v>5</v>
      </c>
      <c r="D22" t="inlineStr">
        <is>
          <t>computed</t>
        </is>
      </c>
      <c r="E22" t="inlineStr"/>
      <c r="F22" t="n">
        <v>23</v>
      </c>
      <c r="G22" t="inlineStr">
        <is>
          <t>억원</t>
        </is>
      </c>
    </row>
    <row r="23">
      <c r="A23" s="2" t="inlineStr">
        <is>
          <t>comp_actual</t>
        </is>
      </c>
      <c r="B23" s="34" t="inlineStr">
        <is>
          <t>컴포넌트 실적</t>
        </is>
      </c>
      <c r="C23" t="n">
        <v>6</v>
      </c>
      <c r="D23" t="inlineStr">
        <is>
          <t>input</t>
        </is>
      </c>
      <c r="E23" t="inlineStr"/>
      <c r="F23" t="n">
        <v>24</v>
      </c>
      <c r="G23" t="inlineStr">
        <is>
          <t>억원</t>
        </is>
      </c>
    </row>
    <row r="24">
      <c r="A24" s="2" t="inlineStr">
        <is>
          <t>comp_vol_g</t>
        </is>
      </c>
      <c r="B24" s="34" t="inlineStr">
        <is>
          <t>컴포넌트 물량 성장률</t>
        </is>
      </c>
      <c r="C24" t="n">
        <v>6</v>
      </c>
      <c r="D24" t="inlineStr">
        <is>
          <t>input</t>
        </is>
      </c>
      <c r="E24" t="inlineStr"/>
      <c r="F24" t="n">
        <v>25</v>
      </c>
      <c r="G24" t="inlineStr">
        <is>
          <t>%</t>
        </is>
      </c>
    </row>
    <row r="25">
      <c r="A25" s="2" t="inlineStr">
        <is>
          <t>comp_price_g</t>
        </is>
      </c>
      <c r="B25" s="34" t="inlineStr">
        <is>
          <t>컴포넌트 단가·믹스 성장률</t>
        </is>
      </c>
      <c r="C25" t="n">
        <v>6</v>
      </c>
      <c r="D25" t="inlineStr">
        <is>
          <t>input</t>
        </is>
      </c>
      <c r="E25" t="inlineStr"/>
      <c r="F25" t="n">
        <v>26</v>
      </c>
      <c r="G25" t="inlineStr">
        <is>
          <t>%</t>
        </is>
      </c>
    </row>
    <row r="26">
      <c r="A26" s="2" t="inlineStr">
        <is>
          <t>optics_total</t>
        </is>
      </c>
      <c r="B26" s="33" t="inlineStr">
        <is>
          <t>② 광학솔루션</t>
        </is>
      </c>
      <c r="C26" t="n">
        <v>5</v>
      </c>
      <c r="D26" t="inlineStr">
        <is>
          <t>computed</t>
        </is>
      </c>
      <c r="E26" t="inlineStr"/>
      <c r="F26" t="n">
        <v>27</v>
      </c>
      <c r="G26" t="inlineStr">
        <is>
          <t>억원</t>
        </is>
      </c>
    </row>
    <row r="27">
      <c r="A27" s="2" t="inlineStr">
        <is>
          <t>optics_actual</t>
        </is>
      </c>
      <c r="B27" s="34" t="inlineStr">
        <is>
          <t>광학 실적</t>
        </is>
      </c>
      <c r="C27" t="n">
        <v>6</v>
      </c>
      <c r="D27" t="inlineStr">
        <is>
          <t>input</t>
        </is>
      </c>
      <c r="E27" t="inlineStr"/>
      <c r="F27" t="n">
        <v>28</v>
      </c>
      <c r="G27" t="inlineStr">
        <is>
          <t>억원</t>
        </is>
      </c>
    </row>
    <row r="28">
      <c r="A28" s="2" t="inlineStr">
        <is>
          <t>optics_vol_g</t>
        </is>
      </c>
      <c r="B28" s="34" t="inlineStr">
        <is>
          <t>광학 물량 성장률</t>
        </is>
      </c>
      <c r="C28" t="n">
        <v>6</v>
      </c>
      <c r="D28" t="inlineStr">
        <is>
          <t>input</t>
        </is>
      </c>
      <c r="E28" t="inlineStr"/>
      <c r="F28" t="n">
        <v>29</v>
      </c>
      <c r="G28" t="inlineStr">
        <is>
          <t>%</t>
        </is>
      </c>
    </row>
    <row r="29">
      <c r="A29" s="2" t="inlineStr">
        <is>
          <t>optics_price_g</t>
        </is>
      </c>
      <c r="B29" s="34" t="inlineStr">
        <is>
          <t>광학 단가·믹스 성장률</t>
        </is>
      </c>
      <c r="C29" t="n">
        <v>6</v>
      </c>
      <c r="D29" t="inlineStr">
        <is>
          <t>input</t>
        </is>
      </c>
      <c r="E29" t="inlineStr"/>
      <c r="F29" t="n">
        <v>30</v>
      </c>
      <c r="G29" t="inlineStr">
        <is>
          <t>%</t>
        </is>
      </c>
    </row>
    <row r="30">
      <c r="A30" s="2" t="inlineStr">
        <is>
          <t>package_total</t>
        </is>
      </c>
      <c r="B30" s="33" t="inlineStr">
        <is>
          <t>③ 패키지솔루션</t>
        </is>
      </c>
      <c r="C30" t="n">
        <v>5</v>
      </c>
      <c r="D30" t="inlineStr">
        <is>
          <t>computed</t>
        </is>
      </c>
      <c r="E30" t="inlineStr"/>
      <c r="F30" t="n">
        <v>31</v>
      </c>
      <c r="G30" t="inlineStr">
        <is>
          <t>억원</t>
        </is>
      </c>
    </row>
    <row r="31">
      <c r="A31" s="2" t="inlineStr">
        <is>
          <t>pkg_actual</t>
        </is>
      </c>
      <c r="B31" s="34" t="inlineStr">
        <is>
          <t>패키지 실적</t>
        </is>
      </c>
      <c r="C31" t="n">
        <v>6</v>
      </c>
      <c r="D31" t="inlineStr">
        <is>
          <t>input</t>
        </is>
      </c>
      <c r="E31" t="inlineStr"/>
      <c r="F31" t="n">
        <v>32</v>
      </c>
      <c r="G31" t="inlineStr">
        <is>
          <t>억원</t>
        </is>
      </c>
    </row>
    <row r="32">
      <c r="A32" s="2" t="inlineStr">
        <is>
          <t>pkg_vol_g</t>
        </is>
      </c>
      <c r="B32" s="34" t="inlineStr">
        <is>
          <t>패키지 물량 성장률</t>
        </is>
      </c>
      <c r="C32" t="n">
        <v>6</v>
      </c>
      <c r="D32" t="inlineStr">
        <is>
          <t>input</t>
        </is>
      </c>
      <c r="E32" t="inlineStr"/>
      <c r="F32" t="n">
        <v>33</v>
      </c>
      <c r="G32" t="inlineStr">
        <is>
          <t>%</t>
        </is>
      </c>
    </row>
    <row r="33">
      <c r="A33" s="2" t="inlineStr">
        <is>
          <t>pkg_price_g</t>
        </is>
      </c>
      <c r="B33" s="34" t="inlineStr">
        <is>
          <t>패키지 단가·믹스 성장률</t>
        </is>
      </c>
      <c r="C33" t="n">
        <v>6</v>
      </c>
      <c r="D33" t="inlineStr">
        <is>
          <t>input</t>
        </is>
      </c>
      <c r="E33" t="inlineStr"/>
      <c r="F33" t="n">
        <v>34</v>
      </c>
      <c r="G33" t="inlineStr">
        <is>
          <t>%</t>
        </is>
      </c>
    </row>
    <row r="34">
      <c r="A34" s="2" t="inlineStr">
        <is>
          <t>total_cost</t>
        </is>
      </c>
      <c r="B34" s="32" t="inlineStr">
        <is>
          <t>비용</t>
        </is>
      </c>
      <c r="C34" t="n">
        <v>4</v>
      </c>
      <c r="D34" t="inlineStr">
        <is>
          <t>computed</t>
        </is>
      </c>
      <c r="E34" t="inlineStr">
        <is>
          <t>Y</t>
        </is>
      </c>
      <c r="F34" t="n">
        <v>35</v>
      </c>
      <c r="G34" t="inlineStr">
        <is>
          <t>억원</t>
        </is>
      </c>
    </row>
    <row r="35">
      <c r="A35" s="2" t="inlineStr">
        <is>
          <t>comp_cost</t>
        </is>
      </c>
      <c r="B35" s="33" t="inlineStr">
        <is>
          <t>① 컴포넌트 비용</t>
        </is>
      </c>
      <c r="C35" t="n">
        <v>5</v>
      </c>
      <c r="D35" t="inlineStr">
        <is>
          <t>computed</t>
        </is>
      </c>
      <c r="E35" t="inlineStr">
        <is>
          <t>Y</t>
        </is>
      </c>
      <c r="F35" t="n">
        <v>36</v>
      </c>
      <c r="G35" t="inlineStr">
        <is>
          <t>억원</t>
        </is>
      </c>
    </row>
    <row r="36">
      <c r="A36" s="2" t="inlineStr">
        <is>
          <t>comp_dep</t>
        </is>
      </c>
      <c r="B36" s="34" t="inlineStr">
        <is>
          <t>컴포넌트 감가상각비</t>
        </is>
      </c>
      <c r="C36" t="n">
        <v>6</v>
      </c>
      <c r="D36" t="inlineStr">
        <is>
          <t>computed</t>
        </is>
      </c>
      <c r="E36" t="inlineStr"/>
      <c r="F36" t="n">
        <v>37</v>
      </c>
      <c r="G36" t="inlineStr">
        <is>
          <t>억원</t>
        </is>
      </c>
    </row>
    <row r="37">
      <c r="A37" s="2" t="inlineStr">
        <is>
          <t>comp_dep_actual</t>
        </is>
      </c>
      <c r="B37" s="35" t="inlineStr">
        <is>
          <t>컴포넌트 감가 실적</t>
        </is>
      </c>
      <c r="C37" t="n">
        <v>7</v>
      </c>
      <c r="D37" t="inlineStr">
        <is>
          <t>input</t>
        </is>
      </c>
      <c r="E37" t="inlineStr"/>
      <c r="F37" t="n">
        <v>38</v>
      </c>
      <c r="G37" t="inlineStr">
        <is>
          <t>억원</t>
        </is>
      </c>
    </row>
    <row r="38">
      <c r="A38" s="2" t="inlineStr">
        <is>
          <t>comp_dep_g</t>
        </is>
      </c>
      <c r="B38" s="35" t="inlineStr">
        <is>
          <t>컴포넌트 감가 증가율</t>
        </is>
      </c>
      <c r="C38" t="n">
        <v>7</v>
      </c>
      <c r="D38" t="inlineStr">
        <is>
          <t>input</t>
        </is>
      </c>
      <c r="E38" t="inlineStr"/>
      <c r="F38" t="n">
        <v>39</v>
      </c>
      <c r="G38" t="inlineStr">
        <is>
          <t>%</t>
        </is>
      </c>
    </row>
    <row r="39">
      <c r="A39" s="2" t="inlineStr">
        <is>
          <t>comp_other</t>
        </is>
      </c>
      <c r="B39" s="34" t="inlineStr">
        <is>
          <t>컴포넌트 기타비용</t>
        </is>
      </c>
      <c r="C39" t="n">
        <v>6</v>
      </c>
      <c r="D39" t="inlineStr">
        <is>
          <t>computed</t>
        </is>
      </c>
      <c r="E39" t="inlineStr"/>
      <c r="F39" t="n">
        <v>40</v>
      </c>
      <c r="G39" t="inlineStr">
        <is>
          <t>억원</t>
        </is>
      </c>
    </row>
    <row r="40">
      <c r="A40" s="2" t="inlineStr">
        <is>
          <t>comp_other_actual</t>
        </is>
      </c>
      <c r="B40" s="35" t="inlineStr">
        <is>
          <t>컴포넌트 기타비용 실적</t>
        </is>
      </c>
      <c r="C40" t="n">
        <v>7</v>
      </c>
      <c r="D40" t="inlineStr">
        <is>
          <t>input</t>
        </is>
      </c>
      <c r="E40" t="inlineStr"/>
      <c r="F40" t="n">
        <v>41</v>
      </c>
      <c r="G40" t="inlineStr">
        <is>
          <t>억원</t>
        </is>
      </c>
    </row>
    <row r="41">
      <c r="A41" s="2" t="inlineStr">
        <is>
          <t>comp_other_ratio</t>
        </is>
      </c>
      <c r="B41" s="35" t="inlineStr">
        <is>
          <t>컴포넌트 기타비용률</t>
        </is>
      </c>
      <c r="C41" t="n">
        <v>7</v>
      </c>
      <c r="D41" t="inlineStr">
        <is>
          <t>input</t>
        </is>
      </c>
      <c r="E41" t="inlineStr"/>
      <c r="F41" t="n">
        <v>42</v>
      </c>
      <c r="G41" t="inlineStr">
        <is>
          <t>%</t>
        </is>
      </c>
    </row>
    <row r="42">
      <c r="A42" s="2" t="inlineStr">
        <is>
          <t>optics_cost</t>
        </is>
      </c>
      <c r="B42" s="33" t="inlineStr">
        <is>
          <t>② 광학 비용</t>
        </is>
      </c>
      <c r="C42" t="n">
        <v>5</v>
      </c>
      <c r="D42" t="inlineStr">
        <is>
          <t>computed</t>
        </is>
      </c>
      <c r="E42" t="inlineStr">
        <is>
          <t>Y</t>
        </is>
      </c>
      <c r="F42" t="n">
        <v>43</v>
      </c>
      <c r="G42" t="inlineStr">
        <is>
          <t>억원</t>
        </is>
      </c>
    </row>
    <row r="43">
      <c r="A43" s="2" t="inlineStr">
        <is>
          <t>optics_dep</t>
        </is>
      </c>
      <c r="B43" s="34" t="inlineStr">
        <is>
          <t>광학 감가상각비</t>
        </is>
      </c>
      <c r="C43" t="n">
        <v>6</v>
      </c>
      <c r="D43" t="inlineStr">
        <is>
          <t>computed</t>
        </is>
      </c>
      <c r="E43" t="inlineStr"/>
      <c r="F43" t="n">
        <v>44</v>
      </c>
      <c r="G43" t="inlineStr">
        <is>
          <t>억원</t>
        </is>
      </c>
    </row>
    <row r="44">
      <c r="A44" s="2" t="inlineStr">
        <is>
          <t>optics_dep_actual</t>
        </is>
      </c>
      <c r="B44" s="35" t="inlineStr">
        <is>
          <t>광학 감가 실적</t>
        </is>
      </c>
      <c r="C44" t="n">
        <v>7</v>
      </c>
      <c r="D44" t="inlineStr">
        <is>
          <t>input</t>
        </is>
      </c>
      <c r="E44" t="inlineStr"/>
      <c r="F44" t="n">
        <v>45</v>
      </c>
      <c r="G44" t="inlineStr">
        <is>
          <t>억원</t>
        </is>
      </c>
    </row>
    <row r="45">
      <c r="A45" s="2" t="inlineStr">
        <is>
          <t>optics_dep_g</t>
        </is>
      </c>
      <c r="B45" s="35" t="inlineStr">
        <is>
          <t>광학 감가 증가율</t>
        </is>
      </c>
      <c r="C45" t="n">
        <v>7</v>
      </c>
      <c r="D45" t="inlineStr">
        <is>
          <t>input</t>
        </is>
      </c>
      <c r="E45" t="inlineStr"/>
      <c r="F45" t="n">
        <v>46</v>
      </c>
      <c r="G45" t="inlineStr">
        <is>
          <t>%</t>
        </is>
      </c>
    </row>
    <row r="46">
      <c r="A46" s="2" t="inlineStr">
        <is>
          <t>optics_other</t>
        </is>
      </c>
      <c r="B46" s="34" t="inlineStr">
        <is>
          <t>광학 기타비용</t>
        </is>
      </c>
      <c r="C46" t="n">
        <v>6</v>
      </c>
      <c r="D46" t="inlineStr">
        <is>
          <t>computed</t>
        </is>
      </c>
      <c r="E46" t="inlineStr"/>
      <c r="F46" t="n">
        <v>47</v>
      </c>
      <c r="G46" t="inlineStr">
        <is>
          <t>억원</t>
        </is>
      </c>
    </row>
    <row r="47">
      <c r="A47" s="2" t="inlineStr">
        <is>
          <t>optics_other_actual</t>
        </is>
      </c>
      <c r="B47" s="35" t="inlineStr">
        <is>
          <t>광학 기타비용 실적</t>
        </is>
      </c>
      <c r="C47" t="n">
        <v>7</v>
      </c>
      <c r="D47" t="inlineStr">
        <is>
          <t>input</t>
        </is>
      </c>
      <c r="E47" t="inlineStr"/>
      <c r="F47" t="n">
        <v>48</v>
      </c>
      <c r="G47" t="inlineStr">
        <is>
          <t>억원</t>
        </is>
      </c>
    </row>
    <row r="48">
      <c r="A48" s="2" t="inlineStr">
        <is>
          <t>optics_other_ratio</t>
        </is>
      </c>
      <c r="B48" s="35" t="inlineStr">
        <is>
          <t>광학 기타비용률</t>
        </is>
      </c>
      <c r="C48" t="n">
        <v>7</v>
      </c>
      <c r="D48" t="inlineStr">
        <is>
          <t>input</t>
        </is>
      </c>
      <c r="E48" t="inlineStr"/>
      <c r="F48" t="n">
        <v>49</v>
      </c>
      <c r="G48" t="inlineStr">
        <is>
          <t>%</t>
        </is>
      </c>
    </row>
    <row r="49">
      <c r="A49" s="2" t="inlineStr">
        <is>
          <t>pkg_cost</t>
        </is>
      </c>
      <c r="B49" s="33" t="inlineStr">
        <is>
          <t>③ 패키지 비용</t>
        </is>
      </c>
      <c r="C49" t="n">
        <v>5</v>
      </c>
      <c r="D49" t="inlineStr">
        <is>
          <t>computed</t>
        </is>
      </c>
      <c r="E49" t="inlineStr">
        <is>
          <t>Y</t>
        </is>
      </c>
      <c r="F49" t="n">
        <v>50</v>
      </c>
      <c r="G49" t="inlineStr">
        <is>
          <t>억원</t>
        </is>
      </c>
    </row>
    <row r="50">
      <c r="A50" s="2" t="inlineStr">
        <is>
          <t>pkg_dep</t>
        </is>
      </c>
      <c r="B50" s="34" t="inlineStr">
        <is>
          <t>패키지 감가상각비</t>
        </is>
      </c>
      <c r="C50" t="n">
        <v>6</v>
      </c>
      <c r="D50" t="inlineStr">
        <is>
          <t>computed</t>
        </is>
      </c>
      <c r="E50" t="inlineStr"/>
      <c r="F50" t="n">
        <v>51</v>
      </c>
      <c r="G50" t="inlineStr">
        <is>
          <t>억원</t>
        </is>
      </c>
    </row>
    <row r="51">
      <c r="A51" s="2" t="inlineStr">
        <is>
          <t>pkg_dep_actual</t>
        </is>
      </c>
      <c r="B51" s="35" t="inlineStr">
        <is>
          <t>패키지 감가 실적</t>
        </is>
      </c>
      <c r="C51" t="n">
        <v>7</v>
      </c>
      <c r="D51" t="inlineStr">
        <is>
          <t>input</t>
        </is>
      </c>
      <c r="E51" t="inlineStr"/>
      <c r="F51" t="n">
        <v>52</v>
      </c>
      <c r="G51" t="inlineStr">
        <is>
          <t>억원</t>
        </is>
      </c>
    </row>
    <row r="52">
      <c r="A52" s="2" t="inlineStr">
        <is>
          <t>pkg_dep_g</t>
        </is>
      </c>
      <c r="B52" s="35" t="inlineStr">
        <is>
          <t>패키지 감가 증가율</t>
        </is>
      </c>
      <c r="C52" t="n">
        <v>7</v>
      </c>
      <c r="D52" t="inlineStr">
        <is>
          <t>input</t>
        </is>
      </c>
      <c r="E52" t="inlineStr"/>
      <c r="F52" t="n">
        <v>53</v>
      </c>
      <c r="G52" t="inlineStr">
        <is>
          <t>%</t>
        </is>
      </c>
    </row>
    <row r="53">
      <c r="A53" s="2" t="inlineStr">
        <is>
          <t>pkg_other</t>
        </is>
      </c>
      <c r="B53" s="34" t="inlineStr">
        <is>
          <t>패키지 기타비용</t>
        </is>
      </c>
      <c r="C53" t="n">
        <v>6</v>
      </c>
      <c r="D53" t="inlineStr">
        <is>
          <t>computed</t>
        </is>
      </c>
      <c r="E53" t="inlineStr"/>
      <c r="F53" t="n">
        <v>54</v>
      </c>
      <c r="G53" t="inlineStr">
        <is>
          <t>억원</t>
        </is>
      </c>
    </row>
    <row r="54">
      <c r="A54" s="2" t="inlineStr">
        <is>
          <t>pkg_other_actual</t>
        </is>
      </c>
      <c r="B54" s="35" t="inlineStr">
        <is>
          <t>패키지 기타비용 실적</t>
        </is>
      </c>
      <c r="C54" t="n">
        <v>7</v>
      </c>
      <c r="D54" t="inlineStr">
        <is>
          <t>input</t>
        </is>
      </c>
      <c r="E54" t="inlineStr"/>
      <c r="F54" t="n">
        <v>55</v>
      </c>
      <c r="G54" t="inlineStr">
        <is>
          <t>억원</t>
        </is>
      </c>
    </row>
    <row r="55">
      <c r="A55" s="2" t="inlineStr">
        <is>
          <t>pkg_other_ratio</t>
        </is>
      </c>
      <c r="B55" s="35" t="inlineStr">
        <is>
          <t>패키지 기타비용률</t>
        </is>
      </c>
      <c r="C55" t="n">
        <v>7</v>
      </c>
      <c r="D55" t="inlineStr">
        <is>
          <t>input</t>
        </is>
      </c>
      <c r="E55" t="inlineStr"/>
      <c r="F55" t="n">
        <v>56</v>
      </c>
      <c r="G55" t="inlineStr">
        <is>
          <t>%</t>
        </is>
      </c>
    </row>
    <row r="56">
      <c r="A56" s="2" t="inlineStr">
        <is>
          <t>net_debt</t>
        </is>
      </c>
      <c r="B56" s="29" t="inlineStr">
        <is>
          <t>순차입금</t>
        </is>
      </c>
      <c r="C56" t="n">
        <v>1</v>
      </c>
      <c r="D56" t="inlineStr">
        <is>
          <t>input</t>
        </is>
      </c>
      <c r="E56" t="inlineStr"/>
      <c r="F56" t="n">
        <v>57</v>
      </c>
      <c r="G56" t="inlineStr">
        <is>
          <t>억원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12"/>
  <sheetViews>
    <sheetView workbookViewId="0">
      <selection activeCell="A1" sqref="A1"/>
    </sheetView>
  </sheetViews>
  <sheetFormatPr baseColWidth="8" defaultRowHeight="15"/>
  <cols>
    <col width="30" customWidth="1" min="1" max="1"/>
    <col width="16" customWidth="1" min="2" max="2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</cols>
  <sheetData>
    <row r="1">
      <c r="A1" s="1" t="inlineStr">
        <is>
          <t>검증</t>
        </is>
      </c>
    </row>
    <row r="2">
      <c r="A2" s="2" t="inlineStr">
        <is>
          <t>합계형 노드의 부모값과 자식 합의 차이. 전 칸이 0이어야 한다.</t>
        </is>
      </c>
    </row>
    <row r="3">
      <c r="D3" s="6" t="inlineStr">
        <is>
          <t>실적</t>
        </is>
      </c>
      <c r="E3" s="6" t="inlineStr">
        <is>
          <t>실적</t>
        </is>
      </c>
      <c r="F3" s="6" t="inlineStr">
        <is>
          <t>실적</t>
        </is>
      </c>
      <c r="G3" s="6" t="inlineStr">
        <is>
          <t>실적</t>
        </is>
      </c>
      <c r="H3" s="6" t="inlineStr">
        <is>
          <t>실적</t>
        </is>
      </c>
      <c r="I3" s="7" t="inlineStr">
        <is>
          <t>추정</t>
        </is>
      </c>
      <c r="J3" s="7" t="inlineStr">
        <is>
          <t>추정</t>
        </is>
      </c>
      <c r="K3" s="7" t="inlineStr">
        <is>
          <t>추정</t>
        </is>
      </c>
      <c r="L3" s="7" t="inlineStr">
        <is>
          <t>추정</t>
        </is>
      </c>
      <c r="M3" s="7" t="inlineStr">
        <is>
          <t>추정</t>
        </is>
      </c>
    </row>
    <row r="4">
      <c r="A4" s="3" t="inlineStr">
        <is>
          <t>계정</t>
        </is>
      </c>
      <c r="B4" s="3" t="inlineStr">
        <is>
          <t>검사</t>
        </is>
      </c>
      <c r="D4" s="8" t="inlineStr">
        <is>
          <t>2021A</t>
        </is>
      </c>
      <c r="E4" s="8" t="inlineStr">
        <is>
          <t>2022A</t>
        </is>
      </c>
      <c r="F4" s="8" t="inlineStr">
        <is>
          <t>2023A</t>
        </is>
      </c>
      <c r="G4" s="8" t="inlineStr">
        <is>
          <t>2024A</t>
        </is>
      </c>
      <c r="H4" s="8" t="inlineStr">
        <is>
          <t>2025A</t>
        </is>
      </c>
      <c r="I4" s="8" t="inlineStr">
        <is>
          <t>2026E</t>
        </is>
      </c>
      <c r="J4" s="8" t="inlineStr">
        <is>
          <t>2027E</t>
        </is>
      </c>
      <c r="K4" s="8" t="inlineStr">
        <is>
          <t>2028E</t>
        </is>
      </c>
      <c r="L4" s="8" t="inlineStr">
        <is>
          <t>2029E</t>
        </is>
      </c>
      <c r="M4" s="8" t="inlineStr">
        <is>
          <t>2030E</t>
        </is>
      </c>
    </row>
    <row r="5">
      <c r="A5" s="5" t="inlineStr">
        <is>
          <t>EBITDA</t>
        </is>
      </c>
      <c r="B5" s="2" t="inlineStr">
        <is>
          <t>부모 − 자식합</t>
        </is>
      </c>
      <c r="D5" s="36">
        <f>ROUND(Model!D8-(Model!D9+Model!D10),6)</f>
        <v/>
      </c>
      <c r="E5" s="36">
        <f>ROUND(Model!E8-(Model!E9+Model!E10),6)</f>
        <v/>
      </c>
      <c r="F5" s="36">
        <f>ROUND(Model!F8-(Model!F9+Model!F10),6)</f>
        <v/>
      </c>
      <c r="G5" s="36">
        <f>ROUND(Model!G8-(Model!G9+Model!G10),6)</f>
        <v/>
      </c>
      <c r="H5" s="36">
        <f>ROUND(Model!H8-(Model!H9+Model!H10),6)</f>
        <v/>
      </c>
      <c r="I5" s="36">
        <f>ROUND(Model!I8-(Model!I9+Model!I10),6)</f>
        <v/>
      </c>
      <c r="J5" s="36">
        <f>ROUND(Model!J8-(Model!J9+Model!J10),6)</f>
        <v/>
      </c>
      <c r="K5" s="36">
        <f>ROUND(Model!K8-(Model!K9+Model!K10),6)</f>
        <v/>
      </c>
      <c r="L5" s="36">
        <f>ROUND(Model!L8-(Model!L9+Model!L10),6)</f>
        <v/>
      </c>
      <c r="M5" s="36">
        <f>ROUND(Model!M8-(Model!M9+Model!M10),6)</f>
        <v/>
      </c>
    </row>
    <row r="6">
      <c r="A6" s="5" t="inlineStr">
        <is>
          <t>매출</t>
        </is>
      </c>
      <c r="B6" s="2" t="inlineStr">
        <is>
          <t>부모 − 자식합</t>
        </is>
      </c>
      <c r="D6" s="36">
        <f>ROUND(Model!D22-(Model!D23+Model!D27+Model!D31),6)</f>
        <v/>
      </c>
      <c r="E6" s="36">
        <f>ROUND(Model!E22-(Model!E23+Model!E27+Model!E31),6)</f>
        <v/>
      </c>
      <c r="F6" s="36">
        <f>ROUND(Model!F22-(Model!F23+Model!F27+Model!F31),6)</f>
        <v/>
      </c>
      <c r="G6" s="36">
        <f>ROUND(Model!G22-(Model!G23+Model!G27+Model!G31),6)</f>
        <v/>
      </c>
      <c r="H6" s="36">
        <f>ROUND(Model!H22-(Model!H23+Model!H27+Model!H31),6)</f>
        <v/>
      </c>
      <c r="I6" s="36">
        <f>ROUND(Model!I22-(Model!I23+Model!I27+Model!I31),6)</f>
        <v/>
      </c>
      <c r="J6" s="36">
        <f>ROUND(Model!J22-(Model!J23+Model!J27+Model!J31),6)</f>
        <v/>
      </c>
      <c r="K6" s="36">
        <f>ROUND(Model!K22-(Model!K23+Model!K27+Model!K31),6)</f>
        <v/>
      </c>
      <c r="L6" s="36">
        <f>ROUND(Model!L22-(Model!L23+Model!L27+Model!L31),6)</f>
        <v/>
      </c>
      <c r="M6" s="36">
        <f>ROUND(Model!M22-(Model!M23+Model!M27+Model!M31),6)</f>
        <v/>
      </c>
    </row>
    <row r="7">
      <c r="A7" s="5" t="inlineStr">
        <is>
          <t>비용</t>
        </is>
      </c>
      <c r="B7" s="2" t="inlineStr">
        <is>
          <t>부모 − 자식합</t>
        </is>
      </c>
      <c r="D7" s="36">
        <f>ROUND(Model!D35-(Model!D36+Model!D43+Model!D50),6)</f>
        <v/>
      </c>
      <c r="E7" s="36">
        <f>ROUND(Model!E35-(Model!E36+Model!E43+Model!E50),6)</f>
        <v/>
      </c>
      <c r="F7" s="36">
        <f>ROUND(Model!F35-(Model!F36+Model!F43+Model!F50),6)</f>
        <v/>
      </c>
      <c r="G7" s="36">
        <f>ROUND(Model!G35-(Model!G36+Model!G43+Model!G50),6)</f>
        <v/>
      </c>
      <c r="H7" s="36">
        <f>ROUND(Model!H35-(Model!H36+Model!H43+Model!H50),6)</f>
        <v/>
      </c>
      <c r="I7" s="36">
        <f>ROUND(Model!I35-(Model!I36+Model!I43+Model!I50),6)</f>
        <v/>
      </c>
      <c r="J7" s="36">
        <f>ROUND(Model!J35-(Model!J36+Model!J43+Model!J50),6)</f>
        <v/>
      </c>
      <c r="K7" s="36">
        <f>ROUND(Model!K35-(Model!K36+Model!K43+Model!K50),6)</f>
        <v/>
      </c>
      <c r="L7" s="36">
        <f>ROUND(Model!L35-(Model!L36+Model!L43+Model!L50),6)</f>
        <v/>
      </c>
      <c r="M7" s="36">
        <f>ROUND(Model!M35-(Model!M36+Model!M43+Model!M50),6)</f>
        <v/>
      </c>
    </row>
    <row r="8">
      <c r="A8" s="5" t="inlineStr">
        <is>
          <t>① 컴포넌트 비용</t>
        </is>
      </c>
      <c r="B8" s="2" t="inlineStr">
        <is>
          <t>부모 − 자식합</t>
        </is>
      </c>
      <c r="D8" s="36">
        <f>ROUND(Model!D36-(Model!D37+Model!D40),6)</f>
        <v/>
      </c>
      <c r="E8" s="36">
        <f>ROUND(Model!E36-(Model!E37+Model!E40),6)</f>
        <v/>
      </c>
      <c r="F8" s="36">
        <f>ROUND(Model!F36-(Model!F37+Model!F40),6)</f>
        <v/>
      </c>
      <c r="G8" s="36">
        <f>ROUND(Model!G36-(Model!G37+Model!G40),6)</f>
        <v/>
      </c>
      <c r="H8" s="36">
        <f>ROUND(Model!H36-(Model!H37+Model!H40),6)</f>
        <v/>
      </c>
      <c r="I8" s="36">
        <f>ROUND(Model!I36-(Model!I37+Model!I40),6)</f>
        <v/>
      </c>
      <c r="J8" s="36">
        <f>ROUND(Model!J36-(Model!J37+Model!J40),6)</f>
        <v/>
      </c>
      <c r="K8" s="36">
        <f>ROUND(Model!K36-(Model!K37+Model!K40),6)</f>
        <v/>
      </c>
      <c r="L8" s="36">
        <f>ROUND(Model!L36-(Model!L37+Model!L40),6)</f>
        <v/>
      </c>
      <c r="M8" s="36">
        <f>ROUND(Model!M36-(Model!M37+Model!M40),6)</f>
        <v/>
      </c>
    </row>
    <row r="9">
      <c r="A9" s="5" t="inlineStr">
        <is>
          <t>② 광학 비용</t>
        </is>
      </c>
      <c r="B9" s="2" t="inlineStr">
        <is>
          <t>부모 − 자식합</t>
        </is>
      </c>
      <c r="D9" s="36">
        <f>ROUND(Model!D43-(Model!D44+Model!D47),6)</f>
        <v/>
      </c>
      <c r="E9" s="36">
        <f>ROUND(Model!E43-(Model!E44+Model!E47),6)</f>
        <v/>
      </c>
      <c r="F9" s="36">
        <f>ROUND(Model!F43-(Model!F44+Model!F47),6)</f>
        <v/>
      </c>
      <c r="G9" s="36">
        <f>ROUND(Model!G43-(Model!G44+Model!G47),6)</f>
        <v/>
      </c>
      <c r="H9" s="36">
        <f>ROUND(Model!H43-(Model!H44+Model!H47),6)</f>
        <v/>
      </c>
      <c r="I9" s="36">
        <f>ROUND(Model!I43-(Model!I44+Model!I47),6)</f>
        <v/>
      </c>
      <c r="J9" s="36">
        <f>ROUND(Model!J43-(Model!J44+Model!J47),6)</f>
        <v/>
      </c>
      <c r="K9" s="36">
        <f>ROUND(Model!K43-(Model!K44+Model!K47),6)</f>
        <v/>
      </c>
      <c r="L9" s="36">
        <f>ROUND(Model!L43-(Model!L44+Model!L47),6)</f>
        <v/>
      </c>
      <c r="M9" s="36">
        <f>ROUND(Model!M43-(Model!M44+Model!M47),6)</f>
        <v/>
      </c>
    </row>
    <row r="10">
      <c r="A10" s="5" t="inlineStr">
        <is>
          <t>③ 패키지 비용</t>
        </is>
      </c>
      <c r="B10" s="2" t="inlineStr">
        <is>
          <t>부모 − 자식합</t>
        </is>
      </c>
      <c r="D10" s="36">
        <f>ROUND(Model!D50-(Model!D51+Model!D54),6)</f>
        <v/>
      </c>
      <c r="E10" s="36">
        <f>ROUND(Model!E50-(Model!E51+Model!E54),6)</f>
        <v/>
      </c>
      <c r="F10" s="36">
        <f>ROUND(Model!F50-(Model!F51+Model!F54),6)</f>
        <v/>
      </c>
      <c r="G10" s="36">
        <f>ROUND(Model!G50-(Model!G51+Model!G54),6)</f>
        <v/>
      </c>
      <c r="H10" s="36">
        <f>ROUND(Model!H50-(Model!H51+Model!H54),6)</f>
        <v/>
      </c>
      <c r="I10" s="36">
        <f>ROUND(Model!I50-(Model!I51+Model!I54),6)</f>
        <v/>
      </c>
      <c r="J10" s="36">
        <f>ROUND(Model!J50-(Model!J51+Model!J54),6)</f>
        <v/>
      </c>
      <c r="K10" s="36">
        <f>ROUND(Model!K50-(Model!K51+Model!K54),6)</f>
        <v/>
      </c>
      <c r="L10" s="36">
        <f>ROUND(Model!L50-(Model!L51+Model!L54),6)</f>
        <v/>
      </c>
      <c r="M10" s="36">
        <f>ROUND(Model!M50-(Model!M51+Model!M54),6)</f>
        <v/>
      </c>
    </row>
    <row r="12">
      <c r="A12" s="4" t="inlineStr">
        <is>
          <t>합계형 노드 수</t>
        </is>
      </c>
      <c r="B12" t="n">
        <v>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60" customWidth="1" min="2" max="2"/>
  </cols>
  <sheetData>
    <row r="1">
      <c r="A1" s="1" t="inlineStr">
        <is>
          <t>빌드 정보</t>
        </is>
      </c>
    </row>
    <row r="3">
      <c r="A3" s="4" t="inlineStr">
        <is>
          <t>소스</t>
        </is>
      </c>
      <c r="B3" t="inlineStr">
        <is>
          <t>model.html</t>
        </is>
      </c>
    </row>
    <row r="4">
      <c r="A4" s="4" t="inlineStr">
        <is>
          <t>소스 해시 (sha256 앞 16자리)</t>
        </is>
      </c>
      <c r="B4" t="inlineStr">
        <is>
          <t>160d3a76e03562a5</t>
        </is>
      </c>
    </row>
    <row r="5">
      <c r="A5" s="4" t="inlineStr">
        <is>
          <t>빌더</t>
        </is>
      </c>
      <c r="B5" t="inlineStr">
        <is>
          <t>tools/build_excel.py</t>
        </is>
      </c>
    </row>
    <row r="6">
      <c r="A6" s="4" t="inlineStr">
        <is>
          <t>수식 변환</t>
        </is>
      </c>
      <c r="B6" t="inlineStr">
        <is>
          <t>엔진 astToExcel (JS) — 파이썬은 배치만 한다</t>
        </is>
      </c>
    </row>
    <row r="7">
      <c r="A7" s="4" t="inlineStr">
        <is>
          <t>노드 수</t>
        </is>
      </c>
      <c r="B7" t="n">
        <v>53</v>
      </c>
    </row>
    <row r="8">
      <c r="A8" s="4" t="inlineStr">
        <is>
          <t>입력 노드 수</t>
        </is>
      </c>
      <c r="B8" t="n">
        <v>31</v>
      </c>
    </row>
    <row r="9">
      <c r="A9" s="4" t="inlineStr">
        <is>
          <t>연도 수</t>
        </is>
      </c>
      <c r="B9" t="n">
        <v>10</v>
      </c>
    </row>
    <row r="10">
      <c r="A10" s="4" t="inlineStr">
        <is>
          <t>HIST_N</t>
        </is>
      </c>
      <c r="B10" t="n">
        <v>5</v>
      </c>
    </row>
    <row r="11">
      <c r="A11" s="4" t="inlineStr">
        <is>
          <t>모델 id</t>
        </is>
      </c>
      <c r="B11" t="inlineStr">
        <is>
          <t>samsung_em_revenue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tools/build_excel.py</dc:creator>
  <dcterms:created xsi:type="dcterms:W3CDTF">2000-01-01T00:00:00Z</dcterms:created>
  <dcterms:modified xsi:type="dcterms:W3CDTF">2000-01-01T00:00:00Z</dcterms:modified>
</cp:coreProperties>
</file>
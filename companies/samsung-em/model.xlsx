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18</v>
      </c>
      <c r="E5" s="9" t="n">
        <v>18</v>
      </c>
      <c r="F5" s="9" t="n">
        <v>18</v>
      </c>
      <c r="G5" s="9" t="n">
        <v>18</v>
      </c>
      <c r="H5" s="9" t="n">
        <v>18</v>
      </c>
      <c r="I5" s="10" t="n">
        <v>18</v>
      </c>
      <c r="J5" s="10" t="n">
        <v>18</v>
      </c>
      <c r="K5" s="10" t="n">
        <v>18</v>
      </c>
      <c r="L5" s="10" t="n">
        <v>18</v>
      </c>
      <c r="M5" s="10" t="n">
        <v>18</v>
      </c>
      <c r="N5" s="11" t="inlineStr">
        <is>
          <t>[주관·시나리오] **2026-08-28 15배 → 18배 상향.** 근거는 해외 피어다. 2026 부문 EBITDA 비중(컴포넌트 55.2% · 패키지 32.2% · 광학 12.7%)으로 피어 배수를 가중하면 22.9배가 나온다 (MLCC 무라타·야게오 평균 24.0 · FC-BGA 이비덴·신코덴키 평균 26.7 · 광학 LG이노텍 8.3). 그러나 이 배수들은 **지금 시점의 TTM**이고 목표배수는 2030년에 적용하는 값이다. 테마 프리미엄이 5년 뒤에도 유지된다는 가정은 두지 않았다. 가중평균 22.9배와 국내 AI 기판 2026E 상단(21.3배) 아래인 18배를 택했다. 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8924.453169140001</v>
      </c>
      <c r="E7" s="9" t="n">
        <v>9805.51642127</v>
      </c>
      <c r="F7" s="9" t="n">
        <v>4229.56706612</v>
      </c>
      <c r="G7" s="9" t="n">
        <v>6791.30069623</v>
      </c>
      <c r="H7" s="9" t="n">
        <v>7061.1316545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44.36121063</v>
      </c>
      <c r="E8" s="9" t="n">
        <v>39.92163459</v>
      </c>
      <c r="F8" s="9" t="n">
        <v>-973.06898031</v>
      </c>
      <c r="G8" s="9" t="n">
        <v>622.90189055</v>
      </c>
      <c r="H8" s="9" t="n">
        <v>-174.99805753</v>
      </c>
      <c r="I8" s="10" t="n">
        <v>-100</v>
      </c>
      <c r="J8" s="10" t="n">
        <v>-100</v>
      </c>
      <c r="K8" s="10" t="n">
        <v>-100</v>
      </c>
      <c r="L8" s="10" t="n">
        <v>-100</v>
      </c>
      <c r="M8" s="10" t="n">
        <v>-100</v>
      </c>
      <c r="N8" s="11" t="inlineStr">
        <is>
          <t>[주관 추정 · 실적은 공시값] 영업외손익 = 세전이익 − 영업이익. 실적 +44/+40/−973/+623/−175억 — 금융·기타손익이 해마다 튄다. 추정은 5년 평균(−88억) 부근 **−100억 고정**.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0.18</v>
      </c>
      <c r="J9" s="13" t="n">
        <v>0.18</v>
      </c>
      <c r="K9" s="13" t="n">
        <v>0.18</v>
      </c>
      <c r="L9" s="13" t="n">
        <v>0.18</v>
      </c>
      <c r="M9" s="13" t="n">
        <v>0.18</v>
      </c>
      <c r="N9" s="11" t="inlineStr">
        <is>
          <t>[주관] 실효세율. 실적 27.7/13.8/15.2/16.6/18.3% — 2021을 빼면 평균 16%. 여유를 둬 18%.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0.965</v>
      </c>
      <c r="J10" s="13" t="n">
        <v>0.965</v>
      </c>
      <c r="K10" s="13" t="n">
        <v>0.965</v>
      </c>
      <c r="L10" s="13" t="n">
        <v>0.965</v>
      </c>
      <c r="M10" s="13" t="n">
        <v>0.965</v>
      </c>
      <c r="N10" s="11" t="inlineStr">
        <is>
          <t>[주관] 지배지분 비율. 실적 97.5/98.7/93.9/96.6/96.6% — 96.5%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74.693696</v>
      </c>
      <c r="E11" s="9" t="n">
        <v>74.693696</v>
      </c>
      <c r="F11" s="9" t="n">
        <v>74.693696</v>
      </c>
      <c r="G11" s="9" t="n">
        <v>74.693696</v>
      </c>
      <c r="H11" s="9" t="n">
        <v>74.693696</v>
      </c>
      <c r="I11" s="10" t="n">
        <v>74.693696</v>
      </c>
      <c r="J11" s="10" t="n">
        <v>74.693696</v>
      </c>
      <c r="K11" s="10" t="n">
        <v>74.693696</v>
      </c>
      <c r="L11" s="10" t="n">
        <v>74.693696</v>
      </c>
      <c r="M11" s="10" t="n">
        <v>74.693696</v>
      </c>
      <c r="N11" s="11" t="inlineStr">
        <is>
          <t>[객관] 상장 보통주 74,693,696주(2025년말) 고정. 기말 단순 기준 — 공시 기본EPS(가중평균·우선주 구분)와 계산 기준이 다르다.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2100</v>
      </c>
      <c r="E12" s="9" t="n">
        <v>2100</v>
      </c>
      <c r="F12" s="9" t="n">
        <v>1150</v>
      </c>
      <c r="G12" s="9" t="n">
        <v>1800</v>
      </c>
      <c r="H12" s="9" t="n">
        <v>2350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보통주 주당 현금배당. 실적 2,100/2,100/1,150/1,800/2,350원 (배당에 관한 사항).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0.25</v>
      </c>
      <c r="J13" s="13" t="n">
        <v>0.25</v>
      </c>
      <c r="K13" s="13" t="n">
        <v>0.25</v>
      </c>
      <c r="L13" s="13" t="n">
        <v>0.25</v>
      </c>
      <c r="M13" s="13" t="n">
        <v>0.25</v>
      </c>
      <c r="N13" s="11" t="inlineStr">
        <is>
          <t>[주관] 배당성향. 실적 17.8/16.2/20.6/20.0/25.2% — **25% 유지** 가정. DPS = EPS × 성향이라 이익이 크면 배당도 같이 큰다.</t>
        </is>
      </c>
    </row>
    <row r="14">
      <c r="A14" s="5" t="inlineStr">
        <is>
          <t>컴포넌트 실적</t>
        </is>
      </c>
      <c r="B14" s="2" t="inlineStr">
        <is>
          <t>comp_actual</t>
        </is>
      </c>
      <c r="C14" s="2" t="inlineStr">
        <is>
          <t>억원</t>
        </is>
      </c>
      <c r="D14" s="9" t="n">
        <v>47718.3</v>
      </c>
      <c r="E14" s="9" t="n">
        <v>41322.83</v>
      </c>
      <c r="F14" s="9" t="n">
        <v>39030.22</v>
      </c>
      <c r="G14" s="9" t="n">
        <v>44620.5</v>
      </c>
      <c r="H14" s="9" t="n">
        <v>51985.01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15">
      <c r="A15" s="5" t="inlineStr">
        <is>
          <t>컴포넌트 물량 성장률</t>
        </is>
      </c>
      <c r="B15" s="2" t="inlineStr">
        <is>
          <t>comp_vol_g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0.14</v>
      </c>
      <c r="J15" s="13" t="n">
        <v>0.09</v>
      </c>
      <c r="K15" s="13" t="n">
        <v>0.07000000000000001</v>
      </c>
      <c r="L15" s="13" t="n">
        <v>0.05</v>
      </c>
      <c r="M15" s="13" t="n">
        <v>0.05</v>
      </c>
      <c r="N15" s="11" t="inlineStr">
        <is>
          <t>[주관·시나리오] **2026-08-28 상향** (기존 8/7/6/5/5%). 2026 상반기 확정 매출 30,579억, 전년 동기 대비 +22.5%. 계절성(H2/H1 평균 1.063)과 YoY 연장 두 방법이 FY2026을 63,079억·63,663억으로 서로 1% 안에서 일치해 63,371억을 채택했고, 이는 2025년 대비 +21.9%다. 물량 14% × 단가 7%로 나눴다. 2027 이후는 기저가 커지므로 더 가파르게 체감시킨다. 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16">
      <c r="A16" s="5" t="inlineStr">
        <is>
          <t>컴포넌트 단가·믹스 성장률</t>
        </is>
      </c>
      <c r="B16" s="2" t="inlineStr">
        <is>
          <t>comp_price_g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0.07000000000000001</v>
      </c>
      <c r="J16" s="13" t="n">
        <v>0.04</v>
      </c>
      <c r="K16" s="13" t="n">
        <v>0.03</v>
      </c>
      <c r="L16" s="13" t="n">
        <v>0.02</v>
      </c>
      <c r="M16" s="13" t="n">
        <v>0.02</v>
      </c>
      <c r="N16" s="11" t="inlineStr">
        <is>
          <t>[주관·시나리오] **2026-08-28 상향** (기존 4/3/3/2/2%). AI 서버용 고용량 제품 믹스 상승분을 단가 쪽에 배분했다. 공시가 부문별 출하 수량을 주지 않아 물량·단가 분해는 여전히 판단이다 — 합계 증가율만 실적에서 확정된다. 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17">
      <c r="A17" s="5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9" t="n">
        <v>32240.56</v>
      </c>
      <c r="E17" s="9" t="n">
        <v>32039.5</v>
      </c>
      <c r="F17" s="9" t="n">
        <v>32720.12</v>
      </c>
      <c r="G17" s="9" t="n">
        <v>37973.96</v>
      </c>
      <c r="H17" s="9" t="n">
        <v>38142.05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8">
      <c r="A18" s="5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0.03</v>
      </c>
      <c r="J18" s="13" t="n">
        <v>0.01</v>
      </c>
      <c r="K18" s="13" t="n">
        <v>0.01</v>
      </c>
      <c r="L18" s="13" t="n">
        <v>0</v>
      </c>
      <c r="M18" s="13" t="n">
        <v>0</v>
      </c>
      <c r="N18" s="11" t="inlineStr">
        <is>
          <t>[주관·시나리오] **2026-08-28 소폭 상향** (기존 1/1/1/0/0%). 상반기 +7.6%로 기존 가정을 웃돌았으나, 이 부문은 계절성이 역방향(H2/H1 0.879)이라 상반기 강세를 연간으로 그대로 연장하지 않았다. FY2026 40,359억(+5.8%). 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9">
      <c r="A19" s="5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0.027</v>
      </c>
      <c r="J19" s="13" t="n">
        <v>0.02</v>
      </c>
      <c r="K19" s="13" t="n">
        <v>0.02</v>
      </c>
      <c r="L19" s="13" t="n">
        <v>0.02</v>
      </c>
      <c r="M19" s="13" t="n">
        <v>0.01</v>
      </c>
      <c r="N19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20">
      <c r="A20" s="5" t="inlineStr">
        <is>
          <t>패키지 실적</t>
        </is>
      </c>
      <c r="B20" s="2" t="inlineStr">
        <is>
          <t>pkg_actual</t>
        </is>
      </c>
      <c r="C20" s="2" t="inlineStr">
        <is>
          <t>억원</t>
        </is>
      </c>
      <c r="D20" s="9" t="n">
        <v>16791.5</v>
      </c>
      <c r="E20" s="9" t="n">
        <v>20883.19</v>
      </c>
      <c r="F20" s="9" t="n">
        <v>17173.78</v>
      </c>
      <c r="G20" s="9" t="n">
        <v>20346.57</v>
      </c>
      <c r="H20" s="9" t="n">
        <v>23017.53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[객관·확정] 사업보고서 영업부문 주석. 재작성 영향 없음. 2022 고점 → 2023 −17.8%(전방 재고조정) → 2년 연속 회복.</t>
        </is>
      </c>
    </row>
    <row r="21">
      <c r="A21" s="5" t="inlineStr">
        <is>
          <t>패키지 물량 성장률</t>
        </is>
      </c>
      <c r="B21" s="2" t="inlineStr">
        <is>
          <t>pkg_vol_g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0.26</v>
      </c>
      <c r="J21" s="13" t="n">
        <v>0.16</v>
      </c>
      <c r="K21" s="13" t="n">
        <v>0.12</v>
      </c>
      <c r="L21" s="13" t="n">
        <v>0.09</v>
      </c>
      <c r="M21" s="13" t="n">
        <v>0.07000000000000001</v>
      </c>
      <c r="N21" s="11" t="inlineStr">
        <is>
          <t>[주관·시나리오] **2026-08-28 대폭 상향** (기존 12/12/10/8/6%). 2026 상반기 매출 14,966억, 전년 동기 10,640억 대비 **+40.7%**. 두 추정법이 FY2026을 32,612억·32,378억으로 일치시켜 32,495억(+41.2%)을 채택했다. 이 모델에서 가장 크게 바뀐 가정이며, FC-BGA 증설분이 실제로 매출로 전환되고 있다는 뜻이다. 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22">
      <c r="A22" s="5" t="inlineStr">
        <is>
          <t>패키지 단가·믹스 성장률</t>
        </is>
      </c>
      <c r="B22" s="2" t="inlineStr">
        <is>
          <t>pkg_price_g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0.12</v>
      </c>
      <c r="J22" s="13" t="n">
        <v>0.05</v>
      </c>
      <c r="K22" s="13" t="n">
        <v>0.03</v>
      </c>
      <c r="L22" s="13" t="n">
        <v>0.02</v>
      </c>
      <c r="M22" s="13" t="n">
        <v>0.02</v>
      </c>
      <c r="N22" s="11" t="inlineStr">
        <is>
          <t>[주관] **2026-08-28 상향** (기존 3/3/2/2/2%). AI 기판은 층수·면적 확대가 단가로 직결되므로 초기 구간에 단가 기여를 크게 두었다. 2027부터는 경쟁 진입을 가정해 빠르게 낮춘다.  블렌디드 단가 상승률. 서버·AI용 FC-BGA 비중이 오르면 단가가 오른다. 모바일 AP용 범용 기판은 경쟁이 심해 단가 방어가 어렵다.</t>
        </is>
      </c>
    </row>
    <row r="23">
      <c r="A23" s="5" t="inlineStr">
        <is>
          <t>컴포넌트 감가 실적</t>
        </is>
      </c>
      <c r="B23" s="2" t="inlineStr">
        <is>
          <t>comp_dep_actual</t>
        </is>
      </c>
      <c r="C23" s="2" t="inlineStr">
        <is>
          <t>억원</t>
        </is>
      </c>
      <c r="D23" s="9" t="n">
        <v>5416.62</v>
      </c>
      <c r="E23" s="9" t="n">
        <v>5699</v>
      </c>
      <c r="F23" s="9" t="n">
        <v>4921.87</v>
      </c>
      <c r="G23" s="9" t="n">
        <v>4242.86</v>
      </c>
      <c r="H23" s="9" t="n">
        <v>4392.41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컴포넌트 감가 증가율</t>
        </is>
      </c>
      <c r="B24" s="2" t="inlineStr">
        <is>
          <t>comp_dep_g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-0.03</v>
      </c>
      <c r="J24" s="13" t="n">
        <v>0.02</v>
      </c>
      <c r="K24" s="13" t="n">
        <v>0.02</v>
      </c>
      <c r="L24" s="13" t="n">
        <v>0.01</v>
      </c>
      <c r="M24" s="13" t="n">
        <v>0.01</v>
      </c>
      <c r="N24" s="11" t="inlineStr">
        <is>
          <t>[주관] **2026-08-28 하향** (기존 2/2/2/1/1%). 상반기 감가상각비 2,125억, 연환산 4,250억으로 2025년 4,392억 대비 **−3.2%**다. 컴포넌트 증설은 이미 정점을 지났다 — 실적이 가정을 바꿔준 사례. 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25">
      <c r="A25" s="5" t="inlineStr">
        <is>
          <t>컴포넌트 기타비용 실적</t>
        </is>
      </c>
      <c r="B25" s="2" t="inlineStr">
        <is>
          <t>comp_other_actual</t>
        </is>
      </c>
      <c r="C25" s="2" t="inlineStr">
        <is>
          <t>억원</t>
        </is>
      </c>
      <c r="D25" s="9" t="n">
        <v>31666.28</v>
      </c>
      <c r="E25" s="9" t="n">
        <v>29546.44</v>
      </c>
      <c r="F25" s="9" t="n">
        <v>30492.41</v>
      </c>
      <c r="G25" s="9" t="n">
        <v>35980.2</v>
      </c>
      <c r="H25" s="9" t="n">
        <v>41499.01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 세 항목 모두 공시 확정값이라 이 값도 확정이다. 별도 가정이 들어가지 않았다.</t>
        </is>
      </c>
    </row>
    <row r="26">
      <c r="A26" s="5" t="inlineStr">
        <is>
          <t>컴포넌트 기타비용률</t>
        </is>
      </c>
      <c r="B26" s="2" t="inlineStr">
        <is>
          <t>comp_other_ratio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0.78</v>
      </c>
      <c r="J26" s="13" t="n">
        <v>0.771</v>
      </c>
      <c r="K26" s="13" t="n">
        <v>0.764</v>
      </c>
      <c r="L26" s="13" t="n">
        <v>0.758</v>
      </c>
      <c r="M26" s="13" t="n">
        <v>0.753</v>
      </c>
      <c r="N26" s="11" t="inlineStr">
        <is>
          <t>[주관·시나리오] **2026-08-28 하향** (기존 79.6 → 78.0%). 상반기 실적 78.7%, 2026Q2만 보면 76.5%로 2025Q2 79.3%에서 2.8%p 개선됐다. 가동률 가설이 맞는 쪽으로 움직이는 중이라 개선 속도를 연 0.7%p 안팎으로 올렸다. 2021년 수준(66.4%)까지는 여전히 가정하지 않는다. 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27">
      <c r="A27" s="5" t="inlineStr">
        <is>
          <t>광학 감가 실적</t>
        </is>
      </c>
      <c r="B27" s="2" t="inlineStr">
        <is>
          <t>optics_dep_actual</t>
        </is>
      </c>
      <c r="C27" s="2" t="inlineStr">
        <is>
          <t>억원</t>
        </is>
      </c>
      <c r="D27" s="9" t="n">
        <v>957.36</v>
      </c>
      <c r="E27" s="9" t="n">
        <v>1209.65</v>
      </c>
      <c r="F27" s="9" t="n">
        <v>888.4400000000001</v>
      </c>
      <c r="G27" s="9" t="n">
        <v>722.89</v>
      </c>
      <c r="H27" s="9" t="n">
        <v>513.11</v>
      </c>
      <c r="I27" s="10" t="n">
        <v>0</v>
      </c>
      <c r="J27" s="10" t="n">
        <v>0</v>
      </c>
      <c r="K27" s="10" t="n">
        <v>0</v>
      </c>
      <c r="L27" s="10" t="n">
        <v>0</v>
      </c>
      <c r="M27" s="10" t="n">
        <v>0</v>
      </c>
      <c r="N27" s="11" t="inlineStr">
        <is>
          <t>[객관·확정] 사업보고서 영업부문 주석의 부문별 감가상각비.</t>
        </is>
      </c>
    </row>
    <row r="28">
      <c r="A28" s="5" t="inlineStr">
        <is>
          <t>광학 감가 증가율</t>
        </is>
      </c>
      <c r="B28" s="2" t="inlineStr">
        <is>
          <t>optics_dep_g</t>
        </is>
      </c>
      <c r="C28" s="2" t="inlineStr">
        <is>
          <t>%</t>
        </is>
      </c>
      <c r="D28" s="12" t="n">
        <v>0</v>
      </c>
      <c r="E28" s="12" t="n">
        <v>0</v>
      </c>
      <c r="F28" s="12" t="n">
        <v>0</v>
      </c>
      <c r="G28" s="12" t="n">
        <v>0</v>
      </c>
      <c r="H28" s="12" t="n">
        <v>0</v>
      </c>
      <c r="I28" s="13" t="n">
        <v>0.08</v>
      </c>
      <c r="J28" s="13" t="n">
        <v>-0.02</v>
      </c>
      <c r="K28" s="13" t="n">
        <v>0</v>
      </c>
      <c r="L28" s="13" t="n">
        <v>0</v>
      </c>
      <c r="M28" s="13" t="n">
        <v>0</v>
      </c>
      <c r="N28" s="11" t="inlineStr">
        <is>
          <t>[주관] **2026-08-28 상향** (기존 −5/−3/0/0/0%). 상반기 연환산 555억으로 2025년 513억 대비 +8.1%. 감소를 가정했으나 실제로는 늘었다.  감소 추세가 완만해지다 멈추는 것으로 본다. 신규 증설 계획이 확인되면 상향해야 한다.</t>
        </is>
      </c>
    </row>
    <row r="29">
      <c r="A29" s="5" t="inlineStr">
        <is>
          <t>광학 기타비용 실적</t>
        </is>
      </c>
      <c r="B29" s="2" t="inlineStr">
        <is>
          <t>optics_other_actual</t>
        </is>
      </c>
      <c r="C29" s="2" t="inlineStr">
        <is>
          <t>억원</t>
        </is>
      </c>
      <c r="D29" s="9" t="n">
        <v>29671.91</v>
      </c>
      <c r="E29" s="9" t="n">
        <v>29725.37</v>
      </c>
      <c r="F29" s="9" t="n">
        <v>30608.17</v>
      </c>
      <c r="G29" s="9" t="n">
        <v>35874.87</v>
      </c>
      <c r="H29" s="9" t="n">
        <v>35941.48</v>
      </c>
      <c r="I29" s="10" t="n">
        <v>0</v>
      </c>
      <c r="J29" s="10" t="n">
        <v>0</v>
      </c>
      <c r="K29" s="10" t="n">
        <v>0</v>
      </c>
      <c r="L29" s="10" t="n">
        <v>0</v>
      </c>
      <c r="M29" s="10" t="n">
        <v>0</v>
      </c>
      <c r="N29" s="11" t="inlineStr">
        <is>
          <t>[객관·확정] 매출 − 영업이익 − 감가상각비.</t>
        </is>
      </c>
    </row>
    <row r="30">
      <c r="A30" s="5" t="inlineStr">
        <is>
          <t>광학 기타비용률</t>
        </is>
      </c>
      <c r="B30" s="2" t="inlineStr">
        <is>
          <t>optics_other_ratio</t>
        </is>
      </c>
      <c r="C30" s="2" t="inlineStr">
        <is>
          <t>%</t>
        </is>
      </c>
      <c r="D30" s="12" t="n">
        <v>0</v>
      </c>
      <c r="E30" s="12" t="n">
        <v>0</v>
      </c>
      <c r="F30" s="12" t="n">
        <v>0</v>
      </c>
      <c r="G30" s="12" t="n">
        <v>0</v>
      </c>
      <c r="H30" s="12" t="n">
        <v>0</v>
      </c>
      <c r="I30" s="13" t="n">
        <v>0.93</v>
      </c>
      <c r="J30" s="13" t="n">
        <v>0.931</v>
      </c>
      <c r="K30" s="13" t="n">
        <v>0.9320000000000001</v>
      </c>
      <c r="L30" s="13" t="n">
        <v>0.9330000000000001</v>
      </c>
      <c r="M30" s="13" t="n">
        <v>0.9330000000000001</v>
      </c>
      <c r="N30" s="11" t="inlineStr">
        <is>
          <t>[주관] **2026-08-28 하향** (기존 94.2 → 93.0%). 상반기 실적 92.9%로 가정보다 좋았다. 다만 이 부문은 5년간 92~94% 안에 갇혀 있어 추세 개선으로 읽지 않는다 — 실적값에 맞추고 이후는 소폭 악화로 되돌린다.  실적: 92.0% → 92.8% → 93.5% → 94.5% → 94.2%. 고객사 원가절감 압력이 상시적이라 개선 여지가 거의 없는 것으로 본다. 거의 고정으로 두는 것이 보수적이다.</t>
        </is>
      </c>
    </row>
    <row r="31">
      <c r="A31" s="5" t="inlineStr">
        <is>
          <t>패키지 감가 실적</t>
        </is>
      </c>
      <c r="B31" s="2" t="inlineStr">
        <is>
          <t>pkg_dep_actual</t>
        </is>
      </c>
      <c r="C31" s="2" t="inlineStr">
        <is>
          <t>억원</t>
        </is>
      </c>
      <c r="D31" s="9" t="n">
        <v>1119.2</v>
      </c>
      <c r="E31" s="9" t="n">
        <v>1165.95</v>
      </c>
      <c r="F31" s="9" t="n">
        <v>1843.56</v>
      </c>
      <c r="G31" s="9" t="n">
        <v>2673.14</v>
      </c>
      <c r="H31" s="9" t="n">
        <v>3726.62</v>
      </c>
      <c r="I31" s="10" t="n">
        <v>0</v>
      </c>
      <c r="J31" s="10" t="n">
        <v>0</v>
      </c>
      <c r="K31" s="10" t="n">
        <v>0</v>
      </c>
      <c r="L31" s="10" t="n">
        <v>0</v>
      </c>
      <c r="M31" s="10" t="n">
        <v>0</v>
      </c>
      <c r="N31" s="11" t="inlineStr">
        <is>
          <t>[객관·확정] 사업보고서 영업부문 주석의 부문별 감가상각비.</t>
        </is>
      </c>
    </row>
    <row r="32">
      <c r="A32" s="5" t="inlineStr">
        <is>
          <t>패키지 감가 증가율</t>
        </is>
      </c>
      <c r="B32" s="2" t="inlineStr">
        <is>
          <t>pkg_dep_g</t>
        </is>
      </c>
      <c r="C32" s="2" t="inlineStr">
        <is>
          <t>%</t>
        </is>
      </c>
      <c r="D32" s="12" t="n">
        <v>0</v>
      </c>
      <c r="E32" s="12" t="n">
        <v>0</v>
      </c>
      <c r="F32" s="12" t="n">
        <v>0</v>
      </c>
      <c r="G32" s="12" t="n">
        <v>0</v>
      </c>
      <c r="H32" s="12" t="n">
        <v>0</v>
      </c>
      <c r="I32" s="13" t="n">
        <v>0.18</v>
      </c>
      <c r="J32" s="13" t="n">
        <v>0.1</v>
      </c>
      <c r="K32" s="13" t="n">
        <v>0.06</v>
      </c>
      <c r="L32" s="13" t="n">
        <v>0.03</v>
      </c>
      <c r="M32" s="13" t="n">
        <v>0.02</v>
      </c>
      <c r="N32" s="11" t="inlineStr">
        <is>
          <t>[주관·시나리오] **2026-08-28 상향** (기존 12/10/7/5/3%). 상반기 연환산 4,388억으로 2025년 3,727억 대비 **+17.7%** — 가정한 12%를 넘었다. 이익에 불리한 방향이지만 실적이 그렇게 말하므로 그대로 반영한다. 다만 분기로 보면 2026Q1 1,102억 → Q2 1,092억으로 처음 꺾였고, 그래서 2027 이후 체감 속도를 높였다. 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33">
      <c r="A33" s="5" t="inlineStr">
        <is>
          <t>패키지 기타비용 실적</t>
        </is>
      </c>
      <c r="B33" s="2" t="inlineStr">
        <is>
          <t>pkg_other_actual</t>
        </is>
      </c>
      <c r="C33" s="2" t="inlineStr">
        <is>
          <t>억원</t>
        </is>
      </c>
      <c r="D33" s="9" t="n">
        <v>13050.26</v>
      </c>
      <c r="E33" s="9" t="n">
        <v>15070.75</v>
      </c>
      <c r="F33" s="9" t="n">
        <v>13564.23</v>
      </c>
      <c r="G33" s="9" t="n">
        <v>16097.01</v>
      </c>
      <c r="H33" s="9" t="n">
        <v>17938.65</v>
      </c>
      <c r="I33" s="10" t="n">
        <v>0</v>
      </c>
      <c r="J33" s="10" t="n">
        <v>0</v>
      </c>
      <c r="K33" s="10" t="n">
        <v>0</v>
      </c>
      <c r="L33" s="10" t="n">
        <v>0</v>
      </c>
      <c r="M33" s="10" t="n">
        <v>0</v>
      </c>
      <c r="N33" s="11" t="inlineStr">
        <is>
          <t>[객관·확정] 매출 − 영업이익 − 감가상각비.</t>
        </is>
      </c>
    </row>
    <row r="34">
      <c r="A34" s="5" t="inlineStr">
        <is>
          <t>패키지 기타비용률</t>
        </is>
      </c>
      <c r="B34" s="2" t="inlineStr">
        <is>
          <t>pkg_other_ratio</t>
        </is>
      </c>
      <c r="C34" s="2" t="inlineStr">
        <is>
          <t>%</t>
        </is>
      </c>
      <c r="D34" s="12" t="n">
        <v>0</v>
      </c>
      <c r="E34" s="12" t="n">
        <v>0</v>
      </c>
      <c r="F34" s="12" t="n">
        <v>0</v>
      </c>
      <c r="G34" s="12" t="n">
        <v>0</v>
      </c>
      <c r="H34" s="12" t="n">
        <v>0</v>
      </c>
      <c r="I34" s="13" t="n">
        <v>0.74</v>
      </c>
      <c r="J34" s="13" t="n">
        <v>0.73</v>
      </c>
      <c r="K34" s="13" t="n">
        <v>0.722</v>
      </c>
      <c r="L34" s="13" t="n">
        <v>0.716</v>
      </c>
      <c r="M34" s="13" t="n">
        <v>0.711</v>
      </c>
      <c r="N34" s="11" t="inlineStr">
        <is>
          <t>[주관·시나리오] **2026-08-28 하향** (기존 77.5 → 74.0%). 상반기 실적 74.6%, 2026Q2 72.2%. 증설 라인의 가동률이 오르면서 고정비 배부가 개선되는 국면.  실적: 77.7% → 72.2% → 79.0% → 79.1% → 77.9%. 2022년 72.2%는 가동률이 높았던 해다. 증설 라인이 정상 가동되면 그 수준으로 회복하는 경로를 가정했다.</t>
        </is>
      </c>
    </row>
    <row r="35">
      <c r="A35" s="5" t="inlineStr">
        <is>
          <t>순차입금</t>
        </is>
      </c>
      <c r="B35" s="2" t="inlineStr">
        <is>
          <t>net_debt</t>
        </is>
      </c>
      <c r="C35" s="2" t="inlineStr">
        <is>
          <t>억원</t>
        </is>
      </c>
      <c r="D35" s="9" t="n">
        <v>-1928</v>
      </c>
      <c r="E35" s="9" t="n">
        <v>-2558</v>
      </c>
      <c r="F35" s="9" t="n">
        <v>-1477</v>
      </c>
      <c r="G35" s="9" t="n">
        <v>-4554</v>
      </c>
      <c r="H35" s="9" t="n">
        <v>-5094</v>
      </c>
      <c r="I35" s="10" t="n">
        <v>-5094</v>
      </c>
      <c r="J35" s="10" t="n">
        <v>-5094</v>
      </c>
      <c r="K35" s="10" t="n">
        <v>-5094</v>
      </c>
      <c r="L35" s="10" t="n">
        <v>-5094</v>
      </c>
      <c r="M35" s="10" t="n">
        <v>-5094</v>
      </c>
      <c r="N35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(D6-D57)</f>
        <v/>
      </c>
      <c r="E5" s="14">
        <f>(E6-E57)</f>
        <v/>
      </c>
      <c r="F5" s="14">
        <f>(F6-F57)</f>
        <v/>
      </c>
      <c r="G5" s="14">
        <f>(G6-G57)</f>
        <v/>
      </c>
      <c r="H5" s="14">
        <f>(H6-H57)</f>
        <v/>
      </c>
      <c r="I5" s="14">
        <f>(I6-I57)</f>
        <v/>
      </c>
      <c r="J5" s="14">
        <f>(J6-J57)</f>
        <v/>
      </c>
      <c r="K5" s="14">
        <f>(K6-K57)</f>
        <v/>
      </c>
      <c r="L5" s="14">
        <f>(L6-L57)</f>
        <v/>
      </c>
      <c r="M5" s="14">
        <f>(M6-M57)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18</v>
      </c>
      <c r="E7" s="19" t="n">
        <v>18</v>
      </c>
      <c r="F7" s="19" t="n">
        <v>18</v>
      </c>
      <c r="G7" s="19" t="n">
        <v>18</v>
      </c>
      <c r="H7" s="19" t="n">
        <v>18</v>
      </c>
      <c r="I7" s="20" t="n">
        <v>18</v>
      </c>
      <c r="J7" s="20" t="n">
        <v>18</v>
      </c>
      <c r="K7" s="20" t="n">
        <v>18</v>
      </c>
      <c r="L7" s="20" t="n">
        <v>18</v>
      </c>
      <c r="M7" s="20" t="n">
        <v>18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((D37+D44)+D51)</f>
        <v/>
      </c>
      <c r="E9" s="16">
        <f>((E37+E44)+E51)</f>
        <v/>
      </c>
      <c r="F9" s="16">
        <f>((F37+F44)+F51)</f>
        <v/>
      </c>
      <c r="G9" s="16">
        <f>((G37+G44)+G51)</f>
        <v/>
      </c>
      <c r="H9" s="16">
        <f>((H37+H44)+H51)</f>
        <v/>
      </c>
      <c r="I9" s="17">
        <f>((I37+I44)+I51)</f>
        <v/>
      </c>
      <c r="J9" s="17">
        <f>((J37+J44)+J51)</f>
        <v/>
      </c>
      <c r="K9" s="17">
        <f>((K37+K44)+K51)</f>
        <v/>
      </c>
      <c r="L9" s="17">
        <f>((L37+L44)+L51)</f>
        <v/>
      </c>
      <c r="M9" s="17">
        <f>((M37+M44)+M51)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(D22-D35)</f>
        <v/>
      </c>
      <c r="E10" s="16">
        <f>(E22-E35)</f>
        <v/>
      </c>
      <c r="F10" s="16">
        <f>(F22-F35)</f>
        <v/>
      </c>
      <c r="G10" s="16">
        <f>(G22-G35)</f>
        <v/>
      </c>
      <c r="H10" s="16">
        <f>(H22-H35)</f>
        <v/>
      </c>
      <c r="I10" s="17">
        <f>(I22-I35)</f>
        <v/>
      </c>
      <c r="J10" s="17">
        <f>(J22-J35)</f>
        <v/>
      </c>
      <c r="K10" s="17">
        <f>(K22-K35)</f>
        <v/>
      </c>
      <c r="L10" s="17">
        <f>(L22-L35)</f>
        <v/>
      </c>
      <c r="M10" s="17">
        <f>(M22-M35)</f>
        <v/>
      </c>
    </row>
    <row r="11">
      <c r="A11" s="22" t="inlineStr">
        <is>
          <t>지배주주 순이익 (참고)</t>
        </is>
      </c>
      <c r="B11" s="2" t="inlineStr">
        <is>
          <t>net_income</t>
        </is>
      </c>
      <c r="C11" s="2" t="inlineStr">
        <is>
          <t>억원</t>
        </is>
      </c>
      <c r="D11" s="16">
        <f>IF((D12&gt;0),D13,(((D10+D14)*(1-D15))*D16))</f>
        <v/>
      </c>
      <c r="E11" s="16">
        <f>IF((E12&gt;0),E13,(((E10+E14)*(1-E15))*E16))</f>
        <v/>
      </c>
      <c r="F11" s="16">
        <f>IF((F12&gt;0),F13,(((F10+F14)*(1-F15))*F16))</f>
        <v/>
      </c>
      <c r="G11" s="16">
        <f>IF((G12&gt;0),G13,(((G10+G14)*(1-G15))*G16))</f>
        <v/>
      </c>
      <c r="H11" s="16">
        <f>IF((H12&gt;0),H13,(((H10+H14)*(1-H15))*H16))</f>
        <v/>
      </c>
      <c r="I11" s="17">
        <f>IF((I12&gt;0),I13,(((I10+I14)*(1-I15))*I16))</f>
        <v/>
      </c>
      <c r="J11" s="17">
        <f>IF((J12&gt;0),J13,(((J10+J14)*(1-J15))*J16))</f>
        <v/>
      </c>
      <c r="K11" s="17">
        <f>IF((K12&gt;0),K13,(((K10+K14)*(1-K15))*K16))</f>
        <v/>
      </c>
      <c r="L11" s="17">
        <f>IF((L12&gt;0),L13,(((L10+L14)*(1-L15))*L16))</f>
        <v/>
      </c>
      <c r="M11" s="17">
        <f>IF((M12&gt;0),M13,(((M10+M14)*(1-M15))*M16))</f>
        <v/>
      </c>
    </row>
    <row r="12">
      <c r="A12" s="23" t="inlineStr">
        <is>
          <t>순이익 실적 마스크</t>
        </is>
      </c>
      <c r="B12" s="2" t="inlineStr">
        <is>
          <t>ni_hist</t>
        </is>
      </c>
      <c r="C12" s="2" t="inlineStr"/>
      <c r="D12" s="19" t="n">
        <v>1</v>
      </c>
      <c r="E12" s="19" t="n">
        <v>1</v>
      </c>
      <c r="F12" s="19" t="n">
        <v>1</v>
      </c>
      <c r="G12" s="19" t="n">
        <v>1</v>
      </c>
      <c r="H12" s="19" t="n">
        <v>1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순이익 실적</t>
        </is>
      </c>
      <c r="B13" s="2" t="inlineStr">
        <is>
          <t>ni_actual</t>
        </is>
      </c>
      <c r="C13" s="2" t="inlineStr">
        <is>
          <t>억원</t>
        </is>
      </c>
      <c r="D13" s="19" t="n">
        <v>8924.453169140001</v>
      </c>
      <c r="E13" s="19" t="n">
        <v>9805.51642127</v>
      </c>
      <c r="F13" s="19" t="n">
        <v>4229.56706612</v>
      </c>
      <c r="G13" s="19" t="n">
        <v>6791.30069623</v>
      </c>
      <c r="H13" s="19" t="n">
        <v>7061.1316545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영업외손익</t>
        </is>
      </c>
      <c r="B14" s="2" t="inlineStr">
        <is>
          <t>nonop</t>
        </is>
      </c>
      <c r="C14" s="2" t="inlineStr">
        <is>
          <t>억원</t>
        </is>
      </c>
      <c r="D14" s="19" t="n">
        <v>44.36121063</v>
      </c>
      <c r="E14" s="19" t="n">
        <v>39.92163459</v>
      </c>
      <c r="F14" s="19" t="n">
        <v>-973.06898031</v>
      </c>
      <c r="G14" s="19" t="n">
        <v>622.90189055</v>
      </c>
      <c r="H14" s="19" t="n">
        <v>-174.99805753</v>
      </c>
      <c r="I14" s="20" t="n">
        <v>-100</v>
      </c>
      <c r="J14" s="20" t="n">
        <v>-100</v>
      </c>
      <c r="K14" s="20" t="n">
        <v>-100</v>
      </c>
      <c r="L14" s="20" t="n">
        <v>-100</v>
      </c>
      <c r="M14" s="20" t="n">
        <v>-100</v>
      </c>
    </row>
    <row r="15">
      <c r="A15" s="23" t="inlineStr">
        <is>
          <t>실효세율</t>
        </is>
      </c>
      <c r="B15" s="2" t="inlineStr">
        <is>
          <t>tax_rate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0.18</v>
      </c>
      <c r="J15" s="25" t="n">
        <v>0.18</v>
      </c>
      <c r="K15" s="25" t="n">
        <v>0.18</v>
      </c>
      <c r="L15" s="25" t="n">
        <v>0.18</v>
      </c>
      <c r="M15" s="25" t="n">
        <v>0.18</v>
      </c>
    </row>
    <row r="16">
      <c r="A16" s="23" t="inlineStr">
        <is>
          <t>지배지분 비율</t>
        </is>
      </c>
      <c r="B16" s="2" t="inlineStr">
        <is>
          <t>ctrl_ratio</t>
        </is>
      </c>
      <c r="C16" s="2" t="inlineStr">
        <is>
          <t>%</t>
        </is>
      </c>
      <c r="D16" s="24" t="n">
        <v>0</v>
      </c>
      <c r="E16" s="24" t="n">
        <v>0</v>
      </c>
      <c r="F16" s="24" t="n">
        <v>0</v>
      </c>
      <c r="G16" s="24" t="n">
        <v>0</v>
      </c>
      <c r="H16" s="24" t="n">
        <v>0</v>
      </c>
      <c r="I16" s="25" t="n">
        <v>0.965</v>
      </c>
      <c r="J16" s="25" t="n">
        <v>0.965</v>
      </c>
      <c r="K16" s="25" t="n">
        <v>0.965</v>
      </c>
      <c r="L16" s="25" t="n">
        <v>0.965</v>
      </c>
      <c r="M16" s="25" t="n">
        <v>0.965</v>
      </c>
    </row>
    <row r="17">
      <c r="A17" s="23" t="inlineStr">
        <is>
          <t>EPS (참고)</t>
        </is>
      </c>
      <c r="B17" s="2" t="inlineStr">
        <is>
          <t>eps</t>
        </is>
      </c>
      <c r="C17" s="2" t="inlineStr">
        <is>
          <t>원</t>
        </is>
      </c>
      <c r="D17" s="16">
        <f>((D11/D18)*100)</f>
        <v/>
      </c>
      <c r="E17" s="16">
        <f>((E11/E18)*100)</f>
        <v/>
      </c>
      <c r="F17" s="16">
        <f>((F11/F18)*100)</f>
        <v/>
      </c>
      <c r="G17" s="16">
        <f>((G11/G18)*100)</f>
        <v/>
      </c>
      <c r="H17" s="16">
        <f>((H11/H18)*100)</f>
        <v/>
      </c>
      <c r="I17" s="17">
        <f>((I11/I18)*100)</f>
        <v/>
      </c>
      <c r="J17" s="17">
        <f>((J11/J18)*100)</f>
        <v/>
      </c>
      <c r="K17" s="17">
        <f>((K11/K18)*100)</f>
        <v/>
      </c>
      <c r="L17" s="17">
        <f>((L11/L18)*100)</f>
        <v/>
      </c>
      <c r="M17" s="17">
        <f>((M11/M18)*100)</f>
        <v/>
      </c>
    </row>
    <row r="18">
      <c r="A18" s="26" t="inlineStr">
        <is>
          <t>상장주식수</t>
        </is>
      </c>
      <c r="B18" s="2" t="inlineStr">
        <is>
          <t>shares</t>
        </is>
      </c>
      <c r="C18" s="2" t="inlineStr">
        <is>
          <t>백만주</t>
        </is>
      </c>
      <c r="D18" s="19" t="n">
        <v>74.693696</v>
      </c>
      <c r="E18" s="19" t="n">
        <v>74.693696</v>
      </c>
      <c r="F18" s="19" t="n">
        <v>74.693696</v>
      </c>
      <c r="G18" s="19" t="n">
        <v>74.693696</v>
      </c>
      <c r="H18" s="19" t="n">
        <v>74.693696</v>
      </c>
      <c r="I18" s="20" t="n">
        <v>74.693696</v>
      </c>
      <c r="J18" s="20" t="n">
        <v>74.693696</v>
      </c>
      <c r="K18" s="20" t="n">
        <v>74.693696</v>
      </c>
      <c r="L18" s="20" t="n">
        <v>74.693696</v>
      </c>
      <c r="M18" s="20" t="n">
        <v>74.693696</v>
      </c>
    </row>
    <row r="19">
      <c r="A19" s="26" t="inlineStr">
        <is>
          <t>DPS (참고)</t>
        </is>
      </c>
      <c r="B19" s="2" t="inlineStr">
        <is>
          <t>dps</t>
        </is>
      </c>
      <c r="C19" s="2" t="inlineStr">
        <is>
          <t>원</t>
        </is>
      </c>
      <c r="D19" s="16">
        <f>IF((D12&gt;0),D20,(D17*D21))</f>
        <v/>
      </c>
      <c r="E19" s="16">
        <f>IF((E12&gt;0),E20,(E17*E21))</f>
        <v/>
      </c>
      <c r="F19" s="16">
        <f>IF((F12&gt;0),F20,(F17*F21))</f>
        <v/>
      </c>
      <c r="G19" s="16">
        <f>IF((G12&gt;0),G20,(G17*G21))</f>
        <v/>
      </c>
      <c r="H19" s="16">
        <f>IF((H12&gt;0),H20,(H17*H21))</f>
        <v/>
      </c>
      <c r="I19" s="17">
        <f>IF((I12&gt;0),I20,(I17*I21))</f>
        <v/>
      </c>
      <c r="J19" s="17">
        <f>IF((J12&gt;0),J20,(J17*J21))</f>
        <v/>
      </c>
      <c r="K19" s="17">
        <f>IF((K12&gt;0),K20,(K17*K21))</f>
        <v/>
      </c>
      <c r="L19" s="17">
        <f>IF((L12&gt;0),L20,(L17*L21))</f>
        <v/>
      </c>
      <c r="M19" s="17">
        <f>IF((M12&gt;0),M20,(M17*M21))</f>
        <v/>
      </c>
    </row>
    <row r="20">
      <c r="A20" s="27" t="inlineStr">
        <is>
          <t>DPS 실적</t>
        </is>
      </c>
      <c r="B20" s="2" t="inlineStr">
        <is>
          <t>dps_a</t>
        </is>
      </c>
      <c r="C20" s="2" t="inlineStr">
        <is>
          <t>원</t>
        </is>
      </c>
      <c r="D20" s="19" t="n">
        <v>2100</v>
      </c>
      <c r="E20" s="19" t="n">
        <v>2100</v>
      </c>
      <c r="F20" s="19" t="n">
        <v>1150</v>
      </c>
      <c r="G20" s="19" t="n">
        <v>1800</v>
      </c>
      <c r="H20" s="19" t="n">
        <v>2350</v>
      </c>
      <c r="I20" s="20" t="n">
        <v>0</v>
      </c>
      <c r="J20" s="20" t="n">
        <v>0</v>
      </c>
      <c r="K20" s="20" t="n">
        <v>0</v>
      </c>
      <c r="L20" s="20" t="n">
        <v>0</v>
      </c>
      <c r="M20" s="20" t="n">
        <v>0</v>
      </c>
    </row>
    <row r="21">
      <c r="A21" s="27" t="inlineStr">
        <is>
          <t>배당성향</t>
        </is>
      </c>
      <c r="B21" s="2" t="inlineStr">
        <is>
          <t>payout</t>
        </is>
      </c>
      <c r="C21" s="2" t="inlineStr">
        <is>
          <t>%</t>
        </is>
      </c>
      <c r="D21" s="24" t="n">
        <v>0</v>
      </c>
      <c r="E21" s="24" t="n">
        <v>0</v>
      </c>
      <c r="F21" s="24" t="n">
        <v>0</v>
      </c>
      <c r="G21" s="24" t="n">
        <v>0</v>
      </c>
      <c r="H21" s="24" t="n">
        <v>0</v>
      </c>
      <c r="I21" s="25" t="n">
        <v>0.25</v>
      </c>
      <c r="J21" s="25" t="n">
        <v>0.25</v>
      </c>
      <c r="K21" s="25" t="n">
        <v>0.25</v>
      </c>
      <c r="L21" s="25" t="n">
        <v>0.25</v>
      </c>
      <c r="M21" s="25" t="n">
        <v>0.25</v>
      </c>
    </row>
    <row r="22">
      <c r="A22" s="22" t="inlineStr">
        <is>
          <t>매출</t>
        </is>
      </c>
      <c r="B22" s="2" t="inlineStr">
        <is>
          <t>total_revenue</t>
        </is>
      </c>
      <c r="C22" s="2" t="inlineStr">
        <is>
          <t>억원</t>
        </is>
      </c>
      <c r="D22" s="16">
        <f>((D23+D27)+D31)</f>
        <v/>
      </c>
      <c r="E22" s="16">
        <f>((E23+E27)+E31)</f>
        <v/>
      </c>
      <c r="F22" s="16">
        <f>((F23+F27)+F31)</f>
        <v/>
      </c>
      <c r="G22" s="16">
        <f>((G23+G27)+G31)</f>
        <v/>
      </c>
      <c r="H22" s="16">
        <f>((H23+H27)+H31)</f>
        <v/>
      </c>
      <c r="I22" s="17">
        <f>((I23+I27)+I31)</f>
        <v/>
      </c>
      <c r="J22" s="17">
        <f>((J23+J27)+J31)</f>
        <v/>
      </c>
      <c r="K22" s="17">
        <f>((K23+K27)+K31)</f>
        <v/>
      </c>
      <c r="L22" s="17">
        <f>((L23+L27)+L31)</f>
        <v/>
      </c>
      <c r="M22" s="17">
        <f>((M23+M27)+M31)</f>
        <v/>
      </c>
    </row>
    <row r="23">
      <c r="A23" s="23" t="inlineStr">
        <is>
          <t>① 컴포넌트</t>
        </is>
      </c>
      <c r="B23" s="2" t="inlineStr">
        <is>
          <t>component_total</t>
        </is>
      </c>
      <c r="C23" s="2" t="inlineStr">
        <is>
          <t>억원</t>
        </is>
      </c>
      <c r="D23" s="16">
        <f>IF((D24&gt;0),D24,((0*(1+D25))*(1+D26)))</f>
        <v/>
      </c>
      <c r="E23" s="16">
        <f>IF((E24&gt;0),E24,((D23*(1+E25))*(1+E26)))</f>
        <v/>
      </c>
      <c r="F23" s="16">
        <f>IF((F24&gt;0),F24,((E23*(1+F25))*(1+F26)))</f>
        <v/>
      </c>
      <c r="G23" s="16">
        <f>IF((G24&gt;0),G24,((F23*(1+G25))*(1+G26)))</f>
        <v/>
      </c>
      <c r="H23" s="16">
        <f>IF((H24&gt;0),H24,((G23*(1+H25))*(1+H26)))</f>
        <v/>
      </c>
      <c r="I23" s="17">
        <f>IF((I24&gt;0),I24,((H23*(1+I25))*(1+I26)))</f>
        <v/>
      </c>
      <c r="J23" s="17">
        <f>IF((J24&gt;0),J24,((I23*(1+J25))*(1+J26)))</f>
        <v/>
      </c>
      <c r="K23" s="17">
        <f>IF((K24&gt;0),K24,((J23*(1+K25))*(1+K26)))</f>
        <v/>
      </c>
      <c r="L23" s="17">
        <f>IF((L24&gt;0),L24,((K23*(1+L25))*(1+L26)))</f>
        <v/>
      </c>
      <c r="M23" s="17">
        <f>IF((M24&gt;0),M24,((L23*(1+M25))*(1+M26)))</f>
        <v/>
      </c>
    </row>
    <row r="24">
      <c r="A24" s="26" t="inlineStr">
        <is>
          <t>컴포넌트 실적</t>
        </is>
      </c>
      <c r="B24" s="2" t="inlineStr">
        <is>
          <t>comp_actual</t>
        </is>
      </c>
      <c r="C24" s="2" t="inlineStr">
        <is>
          <t>억원</t>
        </is>
      </c>
      <c r="D24" s="19" t="n">
        <v>47718.3</v>
      </c>
      <c r="E24" s="19" t="n">
        <v>41322.83</v>
      </c>
      <c r="F24" s="19" t="n">
        <v>39030.22</v>
      </c>
      <c r="G24" s="19" t="n">
        <v>44620.5</v>
      </c>
      <c r="H24" s="19" t="n">
        <v>51985.01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6" t="inlineStr">
        <is>
          <t>컴포넌트 물량 성장률</t>
        </is>
      </c>
      <c r="B25" s="2" t="inlineStr">
        <is>
          <t>comp_vol_g</t>
        </is>
      </c>
      <c r="C25" s="2" t="inlineStr">
        <is>
          <t>%</t>
        </is>
      </c>
      <c r="D25" s="24" t="n">
        <v>0</v>
      </c>
      <c r="E25" s="24" t="n">
        <v>0</v>
      </c>
      <c r="F25" s="24" t="n">
        <v>0</v>
      </c>
      <c r="G25" s="24" t="n">
        <v>0</v>
      </c>
      <c r="H25" s="24" t="n">
        <v>0</v>
      </c>
      <c r="I25" s="25" t="n">
        <v>0.14</v>
      </c>
      <c r="J25" s="25" t="n">
        <v>0.09</v>
      </c>
      <c r="K25" s="25" t="n">
        <v>0.07000000000000001</v>
      </c>
      <c r="L25" s="25" t="n">
        <v>0.05</v>
      </c>
      <c r="M25" s="25" t="n">
        <v>0.05</v>
      </c>
    </row>
    <row r="26">
      <c r="A26" s="26" t="inlineStr">
        <is>
          <t>컴포넌트 단가·믹스 성장률</t>
        </is>
      </c>
      <c r="B26" s="2" t="inlineStr">
        <is>
          <t>comp_price_g</t>
        </is>
      </c>
      <c r="C26" s="2" t="inlineStr">
        <is>
          <t>%</t>
        </is>
      </c>
      <c r="D26" s="24" t="n">
        <v>0</v>
      </c>
      <c r="E26" s="24" t="n">
        <v>0</v>
      </c>
      <c r="F26" s="24" t="n">
        <v>0</v>
      </c>
      <c r="G26" s="24" t="n">
        <v>0</v>
      </c>
      <c r="H26" s="24" t="n">
        <v>0</v>
      </c>
      <c r="I26" s="25" t="n">
        <v>0.07000000000000001</v>
      </c>
      <c r="J26" s="25" t="n">
        <v>0.04</v>
      </c>
      <c r="K26" s="25" t="n">
        <v>0.03</v>
      </c>
      <c r="L26" s="25" t="n">
        <v>0.02</v>
      </c>
      <c r="M26" s="25" t="n">
        <v>0.02</v>
      </c>
    </row>
    <row r="27">
      <c r="A27" s="23" t="inlineStr">
        <is>
          <t>② 광학솔루션</t>
        </is>
      </c>
      <c r="B27" s="2" t="inlineStr">
        <is>
          <t>optics_total</t>
        </is>
      </c>
      <c r="C27" s="2" t="inlineStr">
        <is>
          <t>억원</t>
        </is>
      </c>
      <c r="D27" s="16">
        <f>IF((D28&gt;0),D28,((0*(1+D29))*(1+D30)))</f>
        <v/>
      </c>
      <c r="E27" s="16">
        <f>IF((E28&gt;0),E28,((D27*(1+E29))*(1+E30)))</f>
        <v/>
      </c>
      <c r="F27" s="16">
        <f>IF((F28&gt;0),F28,((E27*(1+F29))*(1+F30)))</f>
        <v/>
      </c>
      <c r="G27" s="16">
        <f>IF((G28&gt;0),G28,((F27*(1+G29))*(1+G30)))</f>
        <v/>
      </c>
      <c r="H27" s="16">
        <f>IF((H28&gt;0),H28,((G27*(1+H29))*(1+H30)))</f>
        <v/>
      </c>
      <c r="I27" s="17">
        <f>IF((I28&gt;0),I28,((H27*(1+I29))*(1+I30)))</f>
        <v/>
      </c>
      <c r="J27" s="17">
        <f>IF((J28&gt;0),J28,((I27*(1+J29))*(1+J30)))</f>
        <v/>
      </c>
      <c r="K27" s="17">
        <f>IF((K28&gt;0),K28,((J27*(1+K29))*(1+K30)))</f>
        <v/>
      </c>
      <c r="L27" s="17">
        <f>IF((L28&gt;0),L28,((K27*(1+L29))*(1+L30)))</f>
        <v/>
      </c>
      <c r="M27" s="17">
        <f>IF((M28&gt;0),M28,((L27*(1+M29))*(1+M30)))</f>
        <v/>
      </c>
    </row>
    <row r="28">
      <c r="A28" s="26" t="inlineStr">
        <is>
          <t>광학 실적</t>
        </is>
      </c>
      <c r="B28" s="2" t="inlineStr">
        <is>
          <t>optics_actual</t>
        </is>
      </c>
      <c r="C28" s="2" t="inlineStr">
        <is>
          <t>억원</t>
        </is>
      </c>
      <c r="D28" s="19" t="n">
        <v>32240.56</v>
      </c>
      <c r="E28" s="19" t="n">
        <v>32039.5</v>
      </c>
      <c r="F28" s="19" t="n">
        <v>32720.12</v>
      </c>
      <c r="G28" s="19" t="n">
        <v>37973.96</v>
      </c>
      <c r="H28" s="19" t="n">
        <v>38142.05</v>
      </c>
      <c r="I28" s="20" t="n">
        <v>0</v>
      </c>
      <c r="J28" s="20" t="n">
        <v>0</v>
      </c>
      <c r="K28" s="20" t="n">
        <v>0</v>
      </c>
      <c r="L28" s="20" t="n">
        <v>0</v>
      </c>
      <c r="M28" s="20" t="n">
        <v>0</v>
      </c>
    </row>
    <row r="29">
      <c r="A29" s="26" t="inlineStr">
        <is>
          <t>광학 물량 성장률</t>
        </is>
      </c>
      <c r="B29" s="2" t="inlineStr">
        <is>
          <t>optics_vol_g</t>
        </is>
      </c>
      <c r="C29" s="2" t="inlineStr">
        <is>
          <t>%</t>
        </is>
      </c>
      <c r="D29" s="24" t="n">
        <v>0</v>
      </c>
      <c r="E29" s="24" t="n">
        <v>0</v>
      </c>
      <c r="F29" s="24" t="n">
        <v>0</v>
      </c>
      <c r="G29" s="24" t="n">
        <v>0</v>
      </c>
      <c r="H29" s="24" t="n">
        <v>0</v>
      </c>
      <c r="I29" s="25" t="n">
        <v>0.03</v>
      </c>
      <c r="J29" s="25" t="n">
        <v>0.01</v>
      </c>
      <c r="K29" s="25" t="n">
        <v>0.01</v>
      </c>
      <c r="L29" s="25" t="n">
        <v>0</v>
      </c>
      <c r="M29" s="25" t="n">
        <v>0</v>
      </c>
    </row>
    <row r="30">
      <c r="A30" s="26" t="inlineStr">
        <is>
          <t>광학 단가·믹스 성장률</t>
        </is>
      </c>
      <c r="B30" s="2" t="inlineStr">
        <is>
          <t>optics_price_g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0.027</v>
      </c>
      <c r="J30" s="25" t="n">
        <v>0.02</v>
      </c>
      <c r="K30" s="25" t="n">
        <v>0.02</v>
      </c>
      <c r="L30" s="25" t="n">
        <v>0.02</v>
      </c>
      <c r="M30" s="25" t="n">
        <v>0.01</v>
      </c>
    </row>
    <row r="31">
      <c r="A31" s="23" t="inlineStr">
        <is>
          <t>③ 패키지솔루션</t>
        </is>
      </c>
      <c r="B31" s="2" t="inlineStr">
        <is>
          <t>package_total</t>
        </is>
      </c>
      <c r="C31" s="2" t="inlineStr">
        <is>
          <t>억원</t>
        </is>
      </c>
      <c r="D31" s="16">
        <f>IF((D32&gt;0),D32,((0*(1+D33))*(1+D34)))</f>
        <v/>
      </c>
      <c r="E31" s="16">
        <f>IF((E32&gt;0),E32,((D31*(1+E33))*(1+E34)))</f>
        <v/>
      </c>
      <c r="F31" s="16">
        <f>IF((F32&gt;0),F32,((E31*(1+F33))*(1+F34)))</f>
        <v/>
      </c>
      <c r="G31" s="16">
        <f>IF((G32&gt;0),G32,((F31*(1+G33))*(1+G34)))</f>
        <v/>
      </c>
      <c r="H31" s="16">
        <f>IF((H32&gt;0),H32,((G31*(1+H33))*(1+H34)))</f>
        <v/>
      </c>
      <c r="I31" s="17">
        <f>IF((I32&gt;0),I32,((H31*(1+I33))*(1+I34)))</f>
        <v/>
      </c>
      <c r="J31" s="17">
        <f>IF((J32&gt;0),J32,((I31*(1+J33))*(1+J34)))</f>
        <v/>
      </c>
      <c r="K31" s="17">
        <f>IF((K32&gt;0),K32,((J31*(1+K33))*(1+K34)))</f>
        <v/>
      </c>
      <c r="L31" s="17">
        <f>IF((L32&gt;0),L32,((K31*(1+L33))*(1+L34)))</f>
        <v/>
      </c>
      <c r="M31" s="17">
        <f>IF((M32&gt;0),M32,((L31*(1+M33))*(1+M34)))</f>
        <v/>
      </c>
    </row>
    <row r="32">
      <c r="A32" s="26" t="inlineStr">
        <is>
          <t>패키지 실적</t>
        </is>
      </c>
      <c r="B32" s="2" t="inlineStr">
        <is>
          <t>pkg_actual</t>
        </is>
      </c>
      <c r="C32" s="2" t="inlineStr">
        <is>
          <t>억원</t>
        </is>
      </c>
      <c r="D32" s="19" t="n">
        <v>16791.5</v>
      </c>
      <c r="E32" s="19" t="n">
        <v>20883.19</v>
      </c>
      <c r="F32" s="19" t="n">
        <v>17173.78</v>
      </c>
      <c r="G32" s="19" t="n">
        <v>20346.57</v>
      </c>
      <c r="H32" s="19" t="n">
        <v>23017.53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6" t="inlineStr">
        <is>
          <t>패키지 물량 성장률</t>
        </is>
      </c>
      <c r="B33" s="2" t="inlineStr">
        <is>
          <t>pkg_vol_g</t>
        </is>
      </c>
      <c r="C33" s="2" t="inlineStr">
        <is>
          <t>%</t>
        </is>
      </c>
      <c r="D33" s="24" t="n">
        <v>0</v>
      </c>
      <c r="E33" s="24" t="n">
        <v>0</v>
      </c>
      <c r="F33" s="24" t="n">
        <v>0</v>
      </c>
      <c r="G33" s="24" t="n">
        <v>0</v>
      </c>
      <c r="H33" s="24" t="n">
        <v>0</v>
      </c>
      <c r="I33" s="25" t="n">
        <v>0.26</v>
      </c>
      <c r="J33" s="25" t="n">
        <v>0.16</v>
      </c>
      <c r="K33" s="25" t="n">
        <v>0.12</v>
      </c>
      <c r="L33" s="25" t="n">
        <v>0.09</v>
      </c>
      <c r="M33" s="25" t="n">
        <v>0.07000000000000001</v>
      </c>
    </row>
    <row r="34">
      <c r="A34" s="26" t="inlineStr">
        <is>
          <t>패키지 단가·믹스 성장률</t>
        </is>
      </c>
      <c r="B34" s="2" t="inlineStr">
        <is>
          <t>pkg_price_g</t>
        </is>
      </c>
      <c r="C34" s="2" t="inlineStr">
        <is>
          <t>%</t>
        </is>
      </c>
      <c r="D34" s="24" t="n">
        <v>0</v>
      </c>
      <c r="E34" s="24" t="n">
        <v>0</v>
      </c>
      <c r="F34" s="24" t="n">
        <v>0</v>
      </c>
      <c r="G34" s="24" t="n">
        <v>0</v>
      </c>
      <c r="H34" s="24" t="n">
        <v>0</v>
      </c>
      <c r="I34" s="25" t="n">
        <v>0.12</v>
      </c>
      <c r="J34" s="25" t="n">
        <v>0.05</v>
      </c>
      <c r="K34" s="25" t="n">
        <v>0.03</v>
      </c>
      <c r="L34" s="25" t="n">
        <v>0.02</v>
      </c>
      <c r="M34" s="25" t="n">
        <v>0.02</v>
      </c>
    </row>
    <row r="35">
      <c r="A35" s="22" t="inlineStr">
        <is>
          <t>비용</t>
        </is>
      </c>
      <c r="B35" s="2" t="inlineStr">
        <is>
          <t>total_cost</t>
        </is>
      </c>
      <c r="C35" s="2" t="inlineStr">
        <is>
          <t>억원</t>
        </is>
      </c>
      <c r="D35" s="16">
        <f>((D36+D43)+D50)</f>
        <v/>
      </c>
      <c r="E35" s="16">
        <f>((E36+E43)+E50)</f>
        <v/>
      </c>
      <c r="F35" s="16">
        <f>((F36+F43)+F50)</f>
        <v/>
      </c>
      <c r="G35" s="16">
        <f>((G36+G43)+G50)</f>
        <v/>
      </c>
      <c r="H35" s="16">
        <f>((H36+H43)+H50)</f>
        <v/>
      </c>
      <c r="I35" s="17">
        <f>((I36+I43)+I50)</f>
        <v/>
      </c>
      <c r="J35" s="17">
        <f>((J36+J43)+J50)</f>
        <v/>
      </c>
      <c r="K35" s="17">
        <f>((K36+K43)+K50)</f>
        <v/>
      </c>
      <c r="L35" s="17">
        <f>((L36+L43)+L50)</f>
        <v/>
      </c>
      <c r="M35" s="17">
        <f>((M36+M43)+M50)</f>
        <v/>
      </c>
    </row>
    <row r="36">
      <c r="A36" s="23" t="inlineStr">
        <is>
          <t>① 컴포넌트 비용</t>
        </is>
      </c>
      <c r="B36" s="2" t="inlineStr">
        <is>
          <t>comp_cost</t>
        </is>
      </c>
      <c r="C36" s="2" t="inlineStr">
        <is>
          <t>억원</t>
        </is>
      </c>
      <c r="D36" s="16">
        <f>(D37+D40)</f>
        <v/>
      </c>
      <c r="E36" s="16">
        <f>(E37+E40)</f>
        <v/>
      </c>
      <c r="F36" s="16">
        <f>(F37+F40)</f>
        <v/>
      </c>
      <c r="G36" s="16">
        <f>(G37+G40)</f>
        <v/>
      </c>
      <c r="H36" s="16">
        <f>(H37+H40)</f>
        <v/>
      </c>
      <c r="I36" s="17">
        <f>(I37+I40)</f>
        <v/>
      </c>
      <c r="J36" s="17">
        <f>(J37+J40)</f>
        <v/>
      </c>
      <c r="K36" s="17">
        <f>(K37+K40)</f>
        <v/>
      </c>
      <c r="L36" s="17">
        <f>(L37+L40)</f>
        <v/>
      </c>
      <c r="M36" s="17">
        <f>(M37+M40)</f>
        <v/>
      </c>
    </row>
    <row r="37">
      <c r="A37" s="26" t="inlineStr">
        <is>
          <t>컴포넌트 감가상각비</t>
        </is>
      </c>
      <c r="B37" s="2" t="inlineStr">
        <is>
          <t>comp_dep</t>
        </is>
      </c>
      <c r="C37" s="2" t="inlineStr">
        <is>
          <t>억원</t>
        </is>
      </c>
      <c r="D37" s="16">
        <f>IF((D38&gt;0),D38,(0*(1+D39)))</f>
        <v/>
      </c>
      <c r="E37" s="16">
        <f>IF((E38&gt;0),E38,(D37*(1+E39)))</f>
        <v/>
      </c>
      <c r="F37" s="16">
        <f>IF((F38&gt;0),F38,(E37*(1+F39)))</f>
        <v/>
      </c>
      <c r="G37" s="16">
        <f>IF((G38&gt;0),G38,(F37*(1+G39)))</f>
        <v/>
      </c>
      <c r="H37" s="16">
        <f>IF((H38&gt;0),H38,(G37*(1+H39)))</f>
        <v/>
      </c>
      <c r="I37" s="17">
        <f>IF((I38&gt;0),I38,(H37*(1+I39)))</f>
        <v/>
      </c>
      <c r="J37" s="17">
        <f>IF((J38&gt;0),J38,(I37*(1+J39)))</f>
        <v/>
      </c>
      <c r="K37" s="17">
        <f>IF((K38&gt;0),K38,(J37*(1+K39)))</f>
        <v/>
      </c>
      <c r="L37" s="17">
        <f>IF((L38&gt;0),L38,(K37*(1+L39)))</f>
        <v/>
      </c>
      <c r="M37" s="17">
        <f>IF((M38&gt;0),M38,(L37*(1+M39)))</f>
        <v/>
      </c>
    </row>
    <row r="38">
      <c r="A38" s="27" t="inlineStr">
        <is>
          <t>컴포넌트 감가 실적</t>
        </is>
      </c>
      <c r="B38" s="2" t="inlineStr">
        <is>
          <t>comp_dep_actual</t>
        </is>
      </c>
      <c r="C38" s="2" t="inlineStr">
        <is>
          <t>억원</t>
        </is>
      </c>
      <c r="D38" s="19" t="n">
        <v>5416.62</v>
      </c>
      <c r="E38" s="19" t="n">
        <v>5699</v>
      </c>
      <c r="F38" s="19" t="n">
        <v>4921.87</v>
      </c>
      <c r="G38" s="19" t="n">
        <v>4242.86</v>
      </c>
      <c r="H38" s="19" t="n">
        <v>4392.41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7" t="inlineStr">
        <is>
          <t>컴포넌트 감가 증가율</t>
        </is>
      </c>
      <c r="B39" s="2" t="inlineStr">
        <is>
          <t>comp_dep_g</t>
        </is>
      </c>
      <c r="C39" s="2" t="inlineStr">
        <is>
          <t>%</t>
        </is>
      </c>
      <c r="D39" s="24" t="n">
        <v>0</v>
      </c>
      <c r="E39" s="24" t="n">
        <v>0</v>
      </c>
      <c r="F39" s="24" t="n">
        <v>0</v>
      </c>
      <c r="G39" s="24" t="n">
        <v>0</v>
      </c>
      <c r="H39" s="24" t="n">
        <v>0</v>
      </c>
      <c r="I39" s="25" t="n">
        <v>-0.03</v>
      </c>
      <c r="J39" s="25" t="n">
        <v>0.02</v>
      </c>
      <c r="K39" s="25" t="n">
        <v>0.02</v>
      </c>
      <c r="L39" s="25" t="n">
        <v>0.01</v>
      </c>
      <c r="M39" s="25" t="n">
        <v>0.01</v>
      </c>
    </row>
    <row r="40">
      <c r="A40" s="26" t="inlineStr">
        <is>
          <t>컴포넌트 기타비용</t>
        </is>
      </c>
      <c r="B40" s="2" t="inlineStr">
        <is>
          <t>comp_other</t>
        </is>
      </c>
      <c r="C40" s="2" t="inlineStr">
        <is>
          <t>억원</t>
        </is>
      </c>
      <c r="D40" s="16">
        <f>IF((D41&gt;0),D41,(D23*D42))</f>
        <v/>
      </c>
      <c r="E40" s="16">
        <f>IF((E41&gt;0),E41,(E23*E42))</f>
        <v/>
      </c>
      <c r="F40" s="16">
        <f>IF((F41&gt;0),F41,(F23*F42))</f>
        <v/>
      </c>
      <c r="G40" s="16">
        <f>IF((G41&gt;0),G41,(G23*G42))</f>
        <v/>
      </c>
      <c r="H40" s="16">
        <f>IF((H41&gt;0),H41,(H23*H42))</f>
        <v/>
      </c>
      <c r="I40" s="17">
        <f>IF((I41&gt;0),I41,(I23*I42))</f>
        <v/>
      </c>
      <c r="J40" s="17">
        <f>IF((J41&gt;0),J41,(J23*J42))</f>
        <v/>
      </c>
      <c r="K40" s="17">
        <f>IF((K41&gt;0),K41,(K23*K42))</f>
        <v/>
      </c>
      <c r="L40" s="17">
        <f>IF((L41&gt;0),L41,(L23*L42))</f>
        <v/>
      </c>
      <c r="M40" s="17">
        <f>IF((M41&gt;0),M41,(M23*M42))</f>
        <v/>
      </c>
    </row>
    <row r="41">
      <c r="A41" s="27" t="inlineStr">
        <is>
          <t>컴포넌트 기타비용 실적</t>
        </is>
      </c>
      <c r="B41" s="2" t="inlineStr">
        <is>
          <t>comp_other_actual</t>
        </is>
      </c>
      <c r="C41" s="2" t="inlineStr">
        <is>
          <t>억원</t>
        </is>
      </c>
      <c r="D41" s="19" t="n">
        <v>31666.28</v>
      </c>
      <c r="E41" s="19" t="n">
        <v>29546.44</v>
      </c>
      <c r="F41" s="19" t="n">
        <v>30492.41</v>
      </c>
      <c r="G41" s="19" t="n">
        <v>35980.2</v>
      </c>
      <c r="H41" s="19" t="n">
        <v>41499.01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컴포넌트 기타비용률</t>
        </is>
      </c>
      <c r="B42" s="2" t="inlineStr">
        <is>
          <t>comp_other_ratio</t>
        </is>
      </c>
      <c r="C42" s="2" t="inlineStr">
        <is>
          <t>%</t>
        </is>
      </c>
      <c r="D42" s="24" t="n">
        <v>0</v>
      </c>
      <c r="E42" s="24" t="n">
        <v>0</v>
      </c>
      <c r="F42" s="24" t="n">
        <v>0</v>
      </c>
      <c r="G42" s="24" t="n">
        <v>0</v>
      </c>
      <c r="H42" s="24" t="n">
        <v>0</v>
      </c>
      <c r="I42" s="25" t="n">
        <v>0.78</v>
      </c>
      <c r="J42" s="25" t="n">
        <v>0.771</v>
      </c>
      <c r="K42" s="25" t="n">
        <v>0.764</v>
      </c>
      <c r="L42" s="25" t="n">
        <v>0.758</v>
      </c>
      <c r="M42" s="25" t="n">
        <v>0.753</v>
      </c>
    </row>
    <row r="43">
      <c r="A43" s="23" t="inlineStr">
        <is>
          <t>② 광학 비용</t>
        </is>
      </c>
      <c r="B43" s="2" t="inlineStr">
        <is>
          <t>optics_cost</t>
        </is>
      </c>
      <c r="C43" s="2" t="inlineStr">
        <is>
          <t>억원</t>
        </is>
      </c>
      <c r="D43" s="16">
        <f>(D44+D47)</f>
        <v/>
      </c>
      <c r="E43" s="16">
        <f>(E44+E47)</f>
        <v/>
      </c>
      <c r="F43" s="16">
        <f>(F44+F47)</f>
        <v/>
      </c>
      <c r="G43" s="16">
        <f>(G44+G47)</f>
        <v/>
      </c>
      <c r="H43" s="16">
        <f>(H44+H47)</f>
        <v/>
      </c>
      <c r="I43" s="17">
        <f>(I44+I47)</f>
        <v/>
      </c>
      <c r="J43" s="17">
        <f>(J44+J47)</f>
        <v/>
      </c>
      <c r="K43" s="17">
        <f>(K44+K47)</f>
        <v/>
      </c>
      <c r="L43" s="17">
        <f>(L44+L47)</f>
        <v/>
      </c>
      <c r="M43" s="17">
        <f>(M44+M47)</f>
        <v/>
      </c>
    </row>
    <row r="44">
      <c r="A44" s="26" t="inlineStr">
        <is>
          <t>광학 감가상각비</t>
        </is>
      </c>
      <c r="B44" s="2" t="inlineStr">
        <is>
          <t>optics_dep</t>
        </is>
      </c>
      <c r="C44" s="2" t="inlineStr">
        <is>
          <t>억원</t>
        </is>
      </c>
      <c r="D44" s="16">
        <f>IF((D45&gt;0),D45,(0*(1+D46)))</f>
        <v/>
      </c>
      <c r="E44" s="16">
        <f>IF((E45&gt;0),E45,(D44*(1+E46)))</f>
        <v/>
      </c>
      <c r="F44" s="16">
        <f>IF((F45&gt;0),F45,(E44*(1+F46)))</f>
        <v/>
      </c>
      <c r="G44" s="16">
        <f>IF((G45&gt;0),G45,(F44*(1+G46)))</f>
        <v/>
      </c>
      <c r="H44" s="16">
        <f>IF((H45&gt;0),H45,(G44*(1+H46)))</f>
        <v/>
      </c>
      <c r="I44" s="17">
        <f>IF((I45&gt;0),I45,(H44*(1+I46)))</f>
        <v/>
      </c>
      <c r="J44" s="17">
        <f>IF((J45&gt;0),J45,(I44*(1+J46)))</f>
        <v/>
      </c>
      <c r="K44" s="17">
        <f>IF((K45&gt;0),K45,(J44*(1+K46)))</f>
        <v/>
      </c>
      <c r="L44" s="17">
        <f>IF((L45&gt;0),L45,(K44*(1+L46)))</f>
        <v/>
      </c>
      <c r="M44" s="17">
        <f>IF((M45&gt;0),M45,(L44*(1+M46)))</f>
        <v/>
      </c>
    </row>
    <row r="45">
      <c r="A45" s="27" t="inlineStr">
        <is>
          <t>광학 감가 실적</t>
        </is>
      </c>
      <c r="B45" s="2" t="inlineStr">
        <is>
          <t>optics_dep_actual</t>
        </is>
      </c>
      <c r="C45" s="2" t="inlineStr">
        <is>
          <t>억원</t>
        </is>
      </c>
      <c r="D45" s="19" t="n">
        <v>957.36</v>
      </c>
      <c r="E45" s="19" t="n">
        <v>1209.65</v>
      </c>
      <c r="F45" s="19" t="n">
        <v>888.4400000000001</v>
      </c>
      <c r="G45" s="19" t="n">
        <v>722.89</v>
      </c>
      <c r="H45" s="19" t="n">
        <v>513.11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</row>
    <row r="46">
      <c r="A46" s="27" t="inlineStr">
        <is>
          <t>광학 감가 증가율</t>
        </is>
      </c>
      <c r="B46" s="2" t="inlineStr">
        <is>
          <t>optics_dep_g</t>
        </is>
      </c>
      <c r="C46" s="2" t="inlineStr">
        <is>
          <t>%</t>
        </is>
      </c>
      <c r="D46" s="24" t="n">
        <v>0</v>
      </c>
      <c r="E46" s="24" t="n">
        <v>0</v>
      </c>
      <c r="F46" s="24" t="n">
        <v>0</v>
      </c>
      <c r="G46" s="24" t="n">
        <v>0</v>
      </c>
      <c r="H46" s="24" t="n">
        <v>0</v>
      </c>
      <c r="I46" s="25" t="n">
        <v>0.08</v>
      </c>
      <c r="J46" s="25" t="n">
        <v>-0.02</v>
      </c>
      <c r="K46" s="25" t="n">
        <v>0</v>
      </c>
      <c r="L46" s="25" t="n">
        <v>0</v>
      </c>
      <c r="M46" s="25" t="n">
        <v>0</v>
      </c>
    </row>
    <row r="47">
      <c r="A47" s="26" t="inlineStr">
        <is>
          <t>광학 기타비용</t>
        </is>
      </c>
      <c r="B47" s="2" t="inlineStr">
        <is>
          <t>optics_other</t>
        </is>
      </c>
      <c r="C47" s="2" t="inlineStr">
        <is>
          <t>억원</t>
        </is>
      </c>
      <c r="D47" s="16">
        <f>IF((D48&gt;0),D48,(D27*D49))</f>
        <v/>
      </c>
      <c r="E47" s="16">
        <f>IF((E48&gt;0),E48,(E27*E49))</f>
        <v/>
      </c>
      <c r="F47" s="16">
        <f>IF((F48&gt;0),F48,(F27*F49))</f>
        <v/>
      </c>
      <c r="G47" s="16">
        <f>IF((G48&gt;0),G48,(G27*G49))</f>
        <v/>
      </c>
      <c r="H47" s="16">
        <f>IF((H48&gt;0),H48,(H27*H49))</f>
        <v/>
      </c>
      <c r="I47" s="17">
        <f>IF((I48&gt;0),I48,(I27*I49))</f>
        <v/>
      </c>
      <c r="J47" s="17">
        <f>IF((J48&gt;0),J48,(J27*J49))</f>
        <v/>
      </c>
      <c r="K47" s="17">
        <f>IF((K48&gt;0),K48,(K27*K49))</f>
        <v/>
      </c>
      <c r="L47" s="17">
        <f>IF((L48&gt;0),L48,(L27*L49))</f>
        <v/>
      </c>
      <c r="M47" s="17">
        <f>IF((M48&gt;0),M48,(M27*M49))</f>
        <v/>
      </c>
    </row>
    <row r="48">
      <c r="A48" s="27" t="inlineStr">
        <is>
          <t>광학 기타비용 실적</t>
        </is>
      </c>
      <c r="B48" s="2" t="inlineStr">
        <is>
          <t>optics_other_actual</t>
        </is>
      </c>
      <c r="C48" s="2" t="inlineStr">
        <is>
          <t>억원</t>
        </is>
      </c>
      <c r="D48" s="19" t="n">
        <v>29671.91</v>
      </c>
      <c r="E48" s="19" t="n">
        <v>29725.37</v>
      </c>
      <c r="F48" s="19" t="n">
        <v>30608.17</v>
      </c>
      <c r="G48" s="19" t="n">
        <v>35874.87</v>
      </c>
      <c r="H48" s="19" t="n">
        <v>35941.48</v>
      </c>
      <c r="I48" s="20" t="n">
        <v>0</v>
      </c>
      <c r="J48" s="20" t="n">
        <v>0</v>
      </c>
      <c r="K48" s="20" t="n">
        <v>0</v>
      </c>
      <c r="L48" s="20" t="n">
        <v>0</v>
      </c>
      <c r="M48" s="20" t="n">
        <v>0</v>
      </c>
    </row>
    <row r="49">
      <c r="A49" s="27" t="inlineStr">
        <is>
          <t>광학 기타비용률</t>
        </is>
      </c>
      <c r="B49" s="2" t="inlineStr">
        <is>
          <t>optics_other_ratio</t>
        </is>
      </c>
      <c r="C49" s="2" t="inlineStr">
        <is>
          <t>%</t>
        </is>
      </c>
      <c r="D49" s="24" t="n">
        <v>0</v>
      </c>
      <c r="E49" s="24" t="n">
        <v>0</v>
      </c>
      <c r="F49" s="24" t="n">
        <v>0</v>
      </c>
      <c r="G49" s="24" t="n">
        <v>0</v>
      </c>
      <c r="H49" s="24" t="n">
        <v>0</v>
      </c>
      <c r="I49" s="25" t="n">
        <v>0.93</v>
      </c>
      <c r="J49" s="25" t="n">
        <v>0.931</v>
      </c>
      <c r="K49" s="25" t="n">
        <v>0.9320000000000001</v>
      </c>
      <c r="L49" s="25" t="n">
        <v>0.9330000000000001</v>
      </c>
      <c r="M49" s="25" t="n">
        <v>0.9330000000000001</v>
      </c>
    </row>
    <row r="50">
      <c r="A50" s="23" t="inlineStr">
        <is>
          <t>③ 패키지 비용</t>
        </is>
      </c>
      <c r="B50" s="2" t="inlineStr">
        <is>
          <t>pkg_cost</t>
        </is>
      </c>
      <c r="C50" s="2" t="inlineStr">
        <is>
          <t>억원</t>
        </is>
      </c>
      <c r="D50" s="16">
        <f>(D51+D54)</f>
        <v/>
      </c>
      <c r="E50" s="16">
        <f>(E51+E54)</f>
        <v/>
      </c>
      <c r="F50" s="16">
        <f>(F51+F54)</f>
        <v/>
      </c>
      <c r="G50" s="16">
        <f>(G51+G54)</f>
        <v/>
      </c>
      <c r="H50" s="16">
        <f>(H51+H54)</f>
        <v/>
      </c>
      <c r="I50" s="17">
        <f>(I51+I54)</f>
        <v/>
      </c>
      <c r="J50" s="17">
        <f>(J51+J54)</f>
        <v/>
      </c>
      <c r="K50" s="17">
        <f>(K51+K54)</f>
        <v/>
      </c>
      <c r="L50" s="17">
        <f>(L51+L54)</f>
        <v/>
      </c>
      <c r="M50" s="17">
        <f>(M51+M54)</f>
        <v/>
      </c>
    </row>
    <row r="51">
      <c r="A51" s="26" t="inlineStr">
        <is>
          <t>패키지 감가상각비</t>
        </is>
      </c>
      <c r="B51" s="2" t="inlineStr">
        <is>
          <t>pkg_dep</t>
        </is>
      </c>
      <c r="C51" s="2" t="inlineStr">
        <is>
          <t>억원</t>
        </is>
      </c>
      <c r="D51" s="16">
        <f>IF((D52&gt;0),D52,(0*(1+D53)))</f>
        <v/>
      </c>
      <c r="E51" s="16">
        <f>IF((E52&gt;0),E52,(D51*(1+E53)))</f>
        <v/>
      </c>
      <c r="F51" s="16">
        <f>IF((F52&gt;0),F52,(E51*(1+F53)))</f>
        <v/>
      </c>
      <c r="G51" s="16">
        <f>IF((G52&gt;0),G52,(F51*(1+G53)))</f>
        <v/>
      </c>
      <c r="H51" s="16">
        <f>IF((H52&gt;0),H52,(G51*(1+H53)))</f>
        <v/>
      </c>
      <c r="I51" s="17">
        <f>IF((I52&gt;0),I52,(H51*(1+I53)))</f>
        <v/>
      </c>
      <c r="J51" s="17">
        <f>IF((J52&gt;0),J52,(I51*(1+J53)))</f>
        <v/>
      </c>
      <c r="K51" s="17">
        <f>IF((K52&gt;0),K52,(J51*(1+K53)))</f>
        <v/>
      </c>
      <c r="L51" s="17">
        <f>IF((L52&gt;0),L52,(K51*(1+L53)))</f>
        <v/>
      </c>
      <c r="M51" s="17">
        <f>IF((M52&gt;0),M52,(L51*(1+M53)))</f>
        <v/>
      </c>
    </row>
    <row r="52">
      <c r="A52" s="27" t="inlineStr">
        <is>
          <t>패키지 감가 실적</t>
        </is>
      </c>
      <c r="B52" s="2" t="inlineStr">
        <is>
          <t>pkg_dep_actual</t>
        </is>
      </c>
      <c r="C52" s="2" t="inlineStr">
        <is>
          <t>억원</t>
        </is>
      </c>
      <c r="D52" s="19" t="n">
        <v>1119.2</v>
      </c>
      <c r="E52" s="19" t="n">
        <v>1165.95</v>
      </c>
      <c r="F52" s="19" t="n">
        <v>1843.56</v>
      </c>
      <c r="G52" s="19" t="n">
        <v>2673.14</v>
      </c>
      <c r="H52" s="19" t="n">
        <v>3726.62</v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</row>
    <row r="53">
      <c r="A53" s="27" t="inlineStr">
        <is>
          <t>패키지 감가 증가율</t>
        </is>
      </c>
      <c r="B53" s="2" t="inlineStr">
        <is>
          <t>pkg_dep_g</t>
        </is>
      </c>
      <c r="C53" s="2" t="inlineStr">
        <is>
          <t>%</t>
        </is>
      </c>
      <c r="D53" s="24" t="n">
        <v>0</v>
      </c>
      <c r="E53" s="24" t="n">
        <v>0</v>
      </c>
      <c r="F53" s="24" t="n">
        <v>0</v>
      </c>
      <c r="G53" s="24" t="n">
        <v>0</v>
      </c>
      <c r="H53" s="24" t="n">
        <v>0</v>
      </c>
      <c r="I53" s="25" t="n">
        <v>0.18</v>
      </c>
      <c r="J53" s="25" t="n">
        <v>0.1</v>
      </c>
      <c r="K53" s="25" t="n">
        <v>0.06</v>
      </c>
      <c r="L53" s="25" t="n">
        <v>0.03</v>
      </c>
      <c r="M53" s="25" t="n">
        <v>0.02</v>
      </c>
    </row>
    <row r="54">
      <c r="A54" s="26" t="inlineStr">
        <is>
          <t>패키지 기타비용</t>
        </is>
      </c>
      <c r="B54" s="2" t="inlineStr">
        <is>
          <t>pkg_other</t>
        </is>
      </c>
      <c r="C54" s="2" t="inlineStr">
        <is>
          <t>억원</t>
        </is>
      </c>
      <c r="D54" s="16">
        <f>IF((D55&gt;0),D55,(D31*D56))</f>
        <v/>
      </c>
      <c r="E54" s="16">
        <f>IF((E55&gt;0),E55,(E31*E56))</f>
        <v/>
      </c>
      <c r="F54" s="16">
        <f>IF((F55&gt;0),F55,(F31*F56))</f>
        <v/>
      </c>
      <c r="G54" s="16">
        <f>IF((G55&gt;0),G55,(G31*G56))</f>
        <v/>
      </c>
      <c r="H54" s="16">
        <f>IF((H55&gt;0),H55,(H31*H56))</f>
        <v/>
      </c>
      <c r="I54" s="17">
        <f>IF((I55&gt;0),I55,(I31*I56))</f>
        <v/>
      </c>
      <c r="J54" s="17">
        <f>IF((J55&gt;0),J55,(J31*J56))</f>
        <v/>
      </c>
      <c r="K54" s="17">
        <f>IF((K55&gt;0),K55,(K31*K56))</f>
        <v/>
      </c>
      <c r="L54" s="17">
        <f>IF((L55&gt;0),L55,(L31*L56))</f>
        <v/>
      </c>
      <c r="M54" s="17">
        <f>IF((M55&gt;0),M55,(M31*M56))</f>
        <v/>
      </c>
    </row>
    <row r="55">
      <c r="A55" s="27" t="inlineStr">
        <is>
          <t>패키지 기타비용 실적</t>
        </is>
      </c>
      <c r="B55" s="2" t="inlineStr">
        <is>
          <t>pkg_other_actual</t>
        </is>
      </c>
      <c r="C55" s="2" t="inlineStr">
        <is>
          <t>억원</t>
        </is>
      </c>
      <c r="D55" s="19" t="n">
        <v>13050.26</v>
      </c>
      <c r="E55" s="19" t="n">
        <v>15070.75</v>
      </c>
      <c r="F55" s="19" t="n">
        <v>13564.23</v>
      </c>
      <c r="G55" s="19" t="n">
        <v>16097.01</v>
      </c>
      <c r="H55" s="19" t="n">
        <v>17938.65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</row>
    <row r="56">
      <c r="A56" s="27" t="inlineStr">
        <is>
          <t>패키지 기타비용률</t>
        </is>
      </c>
      <c r="B56" s="2" t="inlineStr">
        <is>
          <t>pkg_other_ratio</t>
        </is>
      </c>
      <c r="C56" s="2" t="inlineStr">
        <is>
          <t>%</t>
        </is>
      </c>
      <c r="D56" s="24" t="n">
        <v>0</v>
      </c>
      <c r="E56" s="24" t="n">
        <v>0</v>
      </c>
      <c r="F56" s="24" t="n">
        <v>0</v>
      </c>
      <c r="G56" s="24" t="n">
        <v>0</v>
      </c>
      <c r="H56" s="24" t="n">
        <v>0</v>
      </c>
      <c r="I56" s="25" t="n">
        <v>0.74</v>
      </c>
      <c r="J56" s="25" t="n">
        <v>0.73</v>
      </c>
      <c r="K56" s="25" t="n">
        <v>0.722</v>
      </c>
      <c r="L56" s="25" t="n">
        <v>0.716</v>
      </c>
      <c r="M56" s="25" t="n">
        <v>0.711</v>
      </c>
    </row>
    <row r="57">
      <c r="A57" s="15" t="inlineStr">
        <is>
          <t>순차입금</t>
        </is>
      </c>
      <c r="B57" s="2" t="inlineStr">
        <is>
          <t>net_debt</t>
        </is>
      </c>
      <c r="C57" s="2" t="inlineStr">
        <is>
          <t>억원</t>
        </is>
      </c>
      <c r="D57" s="19" t="n">
        <v>-1928</v>
      </c>
      <c r="E57" s="19" t="n">
        <v>-2558</v>
      </c>
      <c r="F57" s="19" t="n">
        <v>-1477</v>
      </c>
      <c r="G57" s="19" t="n">
        <v>-4554</v>
      </c>
      <c r="H57" s="19" t="n">
        <v>-5094</v>
      </c>
      <c r="I57" s="20" t="n">
        <v>-5094</v>
      </c>
      <c r="J57" s="20" t="n">
        <v>-5094</v>
      </c>
      <c r="K57" s="20" t="n">
        <v>-5094</v>
      </c>
      <c r="L57" s="20" t="n">
        <v>-5094</v>
      </c>
      <c r="M57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'=(I6-I57)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'=((I37+I44)+I51)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'=(I22-I35)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11</v>
      </c>
      <c r="D10" s="28" t="inlineStr">
        <is>
          <t>IF(ni_hist &gt; 0, ni_actual, (op_profit + nonop) * (1 - tax_rate) * ctrl_ratio)</t>
        </is>
      </c>
      <c r="E10" s="11" t="inlineStr">
        <is>
          <t>'=IF((I12&gt;0),I13,(((I10+I14)*(1-I15))*I16))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17</v>
      </c>
      <c r="D11" s="28" t="inlineStr">
        <is>
          <t>net_income / shares * 100</t>
        </is>
      </c>
      <c r="E11" s="11" t="inlineStr">
        <is>
          <t>'=((I11/I18)*100)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19</v>
      </c>
      <c r="D12" s="28" t="inlineStr">
        <is>
          <t>IF(ni_hist &gt; 0, dps_a, eps * payout)</t>
        </is>
      </c>
      <c r="E12" s="11" t="inlineStr">
        <is>
          <t>'=IF((I12&gt;0),I20,(I17*I21))</t>
        </is>
      </c>
    </row>
    <row r="13">
      <c r="A13" s="2" t="inlineStr">
        <is>
          <t>total_revenue</t>
        </is>
      </c>
      <c r="B13" s="5" t="inlineStr">
        <is>
          <t>매출</t>
        </is>
      </c>
      <c r="C13" s="2" t="n">
        <v>22</v>
      </c>
      <c r="D13" s="28" t="inlineStr">
        <is>
          <t>component_total + optics_total + package_total</t>
        </is>
      </c>
      <c r="E13" s="11" t="inlineStr">
        <is>
          <t>'=((I23+I27)+I31)</t>
        </is>
      </c>
    </row>
    <row r="14">
      <c r="A14" s="2" t="inlineStr">
        <is>
          <t>component_total</t>
        </is>
      </c>
      <c r="B14" s="5" t="inlineStr">
        <is>
          <t>① 컴포넌트</t>
        </is>
      </c>
      <c r="C14" s="2" t="n">
        <v>23</v>
      </c>
      <c r="D14" s="28" t="inlineStr">
        <is>
          <t>IF(comp_actual &gt; 0, comp_actual, PREV(component_total) * (1 + comp_vol_g) * (1 + comp_price_g))</t>
        </is>
      </c>
      <c r="E14" s="11" t="inlineStr">
        <is>
          <t>'=IF((I24&gt;0),I24,((H23*(1+I25))*(1+I26)))</t>
        </is>
      </c>
    </row>
    <row r="15">
      <c r="A15" s="2" t="inlineStr">
        <is>
          <t>optics_total</t>
        </is>
      </c>
      <c r="B15" s="5" t="inlineStr">
        <is>
          <t>② 광학솔루션</t>
        </is>
      </c>
      <c r="C15" s="2" t="n">
        <v>27</v>
      </c>
      <c r="D15" s="28" t="inlineStr">
        <is>
          <t>IF(optics_actual &gt; 0, optics_actual, PREV(optics_total) * (1 + optics_vol_g) * (1 + optics_price_g))</t>
        </is>
      </c>
      <c r="E15" s="11" t="inlineStr">
        <is>
          <t>'=IF((I28&gt;0),I28,((H27*(1+I29))*(1+I30)))</t>
        </is>
      </c>
    </row>
    <row r="16">
      <c r="A16" s="2" t="inlineStr">
        <is>
          <t>package_total</t>
        </is>
      </c>
      <c r="B16" s="5" t="inlineStr">
        <is>
          <t>③ 패키지솔루션</t>
        </is>
      </c>
      <c r="C16" s="2" t="n">
        <v>31</v>
      </c>
      <c r="D16" s="28" t="inlineStr">
        <is>
          <t>IF(pkg_actual &gt; 0, pkg_actual, PREV(package_total) * (1 + pkg_vol_g) * (1 + pkg_price_g))</t>
        </is>
      </c>
      <c r="E16" s="11" t="inlineStr">
        <is>
          <t>'=IF((I32&gt;0),I32,((H31*(1+I33))*(1+I34)))</t>
        </is>
      </c>
    </row>
    <row r="17">
      <c r="A17" s="2" t="inlineStr">
        <is>
          <t>total_cost</t>
        </is>
      </c>
      <c r="B17" s="5" t="inlineStr">
        <is>
          <t>비용</t>
        </is>
      </c>
      <c r="C17" s="2" t="n">
        <v>35</v>
      </c>
      <c r="D17" s="28" t="inlineStr">
        <is>
          <t>comp_cost + optics_cost + pkg_cost</t>
        </is>
      </c>
      <c r="E17" s="11" t="inlineStr">
        <is>
          <t>'=((I36+I43)+I50)</t>
        </is>
      </c>
    </row>
    <row r="18">
      <c r="A18" s="2" t="inlineStr">
        <is>
          <t>comp_cost</t>
        </is>
      </c>
      <c r="B18" s="5" t="inlineStr">
        <is>
          <t>① 컴포넌트 비용</t>
        </is>
      </c>
      <c r="C18" s="2" t="n">
        <v>36</v>
      </c>
      <c r="D18" s="28" t="inlineStr">
        <is>
          <t>comp_dep + comp_other</t>
        </is>
      </c>
      <c r="E18" s="11" t="inlineStr">
        <is>
          <t>'=(I37+I40)</t>
        </is>
      </c>
    </row>
    <row r="19">
      <c r="A19" s="2" t="inlineStr">
        <is>
          <t>comp_dep</t>
        </is>
      </c>
      <c r="B19" s="5" t="inlineStr">
        <is>
          <t>컴포넌트 감가상각비</t>
        </is>
      </c>
      <c r="C19" s="2" t="n">
        <v>37</v>
      </c>
      <c r="D19" s="28" t="inlineStr">
        <is>
          <t>IF(comp_dep_actual &gt; 0, comp_dep_actual, PREV(comp_dep) * (1 + comp_dep_g))</t>
        </is>
      </c>
      <c r="E19" s="11" t="inlineStr">
        <is>
          <t>'=IF((I38&gt;0),I38,(H37*(1+I39)))</t>
        </is>
      </c>
    </row>
    <row r="20">
      <c r="A20" s="2" t="inlineStr">
        <is>
          <t>comp_other</t>
        </is>
      </c>
      <c r="B20" s="5" t="inlineStr">
        <is>
          <t>컴포넌트 기타비용</t>
        </is>
      </c>
      <c r="C20" s="2" t="n">
        <v>40</v>
      </c>
      <c r="D20" s="28" t="inlineStr">
        <is>
          <t>IF(comp_other_actual &gt; 0, comp_other_actual, component_total * comp_other_ratio)</t>
        </is>
      </c>
      <c r="E20" s="11" t="inlineStr">
        <is>
          <t>'=IF((I41&gt;0),I41,(I23*I42))</t>
        </is>
      </c>
    </row>
    <row r="21">
      <c r="A21" s="2" t="inlineStr">
        <is>
          <t>optics_cost</t>
        </is>
      </c>
      <c r="B21" s="5" t="inlineStr">
        <is>
          <t>② 광학 비용</t>
        </is>
      </c>
      <c r="C21" s="2" t="n">
        <v>43</v>
      </c>
      <c r="D21" s="28" t="inlineStr">
        <is>
          <t>optics_dep + optics_other</t>
        </is>
      </c>
      <c r="E21" s="11" t="inlineStr">
        <is>
          <t>'=(I44+I47)</t>
        </is>
      </c>
    </row>
    <row r="22">
      <c r="A22" s="2" t="inlineStr">
        <is>
          <t>optics_dep</t>
        </is>
      </c>
      <c r="B22" s="5" t="inlineStr">
        <is>
          <t>광학 감가상각비</t>
        </is>
      </c>
      <c r="C22" s="2" t="n">
        <v>44</v>
      </c>
      <c r="D22" s="28" t="inlineStr">
        <is>
          <t>IF(optics_dep_actual &gt; 0, optics_dep_actual, PREV(optics_dep) * (1 + optics_dep_g))</t>
        </is>
      </c>
      <c r="E22" s="11" t="inlineStr">
        <is>
          <t>'=IF((I45&gt;0),I45,(H44*(1+I46)))</t>
        </is>
      </c>
    </row>
    <row r="23">
      <c r="A23" s="2" t="inlineStr">
        <is>
          <t>optics_other</t>
        </is>
      </c>
      <c r="B23" s="5" t="inlineStr">
        <is>
          <t>광학 기타비용</t>
        </is>
      </c>
      <c r="C23" s="2" t="n">
        <v>47</v>
      </c>
      <c r="D23" s="28" t="inlineStr">
        <is>
          <t>IF(optics_other_actual &gt; 0, optics_other_actual, optics_total * optics_other_ratio)</t>
        </is>
      </c>
      <c r="E23" s="11" t="inlineStr">
        <is>
          <t>'=IF((I48&gt;0),I48,(I27*I49))</t>
        </is>
      </c>
    </row>
    <row r="24">
      <c r="A24" s="2" t="inlineStr">
        <is>
          <t>pkg_cost</t>
        </is>
      </c>
      <c r="B24" s="5" t="inlineStr">
        <is>
          <t>③ 패키지 비용</t>
        </is>
      </c>
      <c r="C24" s="2" t="n">
        <v>50</v>
      </c>
      <c r="D24" s="28" t="inlineStr">
        <is>
          <t>pkg_dep + pkg_other</t>
        </is>
      </c>
      <c r="E24" s="11" t="inlineStr">
        <is>
          <t>'=(I51+I54)</t>
        </is>
      </c>
    </row>
    <row r="25">
      <c r="A25" s="2" t="inlineStr">
        <is>
          <t>pkg_dep</t>
        </is>
      </c>
      <c r="B25" s="5" t="inlineStr">
        <is>
          <t>패키지 감가상각비</t>
        </is>
      </c>
      <c r="C25" s="2" t="n">
        <v>51</v>
      </c>
      <c r="D25" s="28" t="inlineStr">
        <is>
          <t>IF(pkg_dep_actual &gt; 0, pkg_dep_actual, PREV(pkg_dep) * (1 + pkg_dep_g))</t>
        </is>
      </c>
      <c r="E25" s="11" t="inlineStr">
        <is>
          <t>'=IF((I52&gt;0),I52,(H51*(1+I53)))</t>
        </is>
      </c>
    </row>
    <row r="26">
      <c r="A26" s="2" t="inlineStr">
        <is>
          <t>pkg_other</t>
        </is>
      </c>
      <c r="B26" s="5" t="inlineStr">
        <is>
          <t>패키지 기타비용</t>
        </is>
      </c>
      <c r="C26" s="2" t="n">
        <v>54</v>
      </c>
      <c r="D26" s="28" t="inlineStr">
        <is>
          <t>IF(pkg_other_actual &gt; 0, pkg_other_actual, package_total * pkg_other_ratio)</t>
        </is>
      </c>
      <c r="E26" s="11" t="inlineStr">
        <is>
          <t>'=IF((I55&gt;0),I55,(I31*I56))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net_income</t>
        </is>
      </c>
      <c r="B10" s="32" t="inlineStr">
        <is>
          <t>지배주주 순이익 (참고)</t>
        </is>
      </c>
      <c r="C10" t="n">
        <v>4</v>
      </c>
      <c r="D10" t="inlineStr">
        <is>
          <t>computed</t>
        </is>
      </c>
      <c r="E10" t="inlineStr"/>
      <c r="F10" t="n">
        <v>11</v>
      </c>
      <c r="G10" t="inlineStr">
        <is>
          <t>억원</t>
        </is>
      </c>
    </row>
    <row r="11">
      <c r="A11" s="2" t="inlineStr">
        <is>
          <t>ni_hist</t>
        </is>
      </c>
      <c r="B11" s="33" t="inlineStr">
        <is>
          <t>순이익 실적 마스크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/>
    </row>
    <row r="12">
      <c r="A12" s="2" t="inlineStr">
        <is>
          <t>ni_actual</t>
        </is>
      </c>
      <c r="B12" s="33" t="inlineStr">
        <is>
          <t>순이익 실적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nonop</t>
        </is>
      </c>
      <c r="B13" s="33" t="inlineStr">
        <is>
          <t>영업외손익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tax_rate</t>
        </is>
      </c>
      <c r="B14" s="33" t="inlineStr">
        <is>
          <t>실효세율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ctrl_ratio</t>
        </is>
      </c>
      <c r="B15" s="33" t="inlineStr">
        <is>
          <t>지배지분 비율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eps</t>
        </is>
      </c>
      <c r="B16" s="33" t="inlineStr">
        <is>
          <t>EPS (참고)</t>
        </is>
      </c>
      <c r="C16" t="n">
        <v>5</v>
      </c>
      <c r="D16" t="inlineStr">
        <is>
          <t>computed</t>
        </is>
      </c>
      <c r="E16" t="inlineStr"/>
      <c r="F16" t="n">
        <v>17</v>
      </c>
      <c r="G16" t="inlineStr">
        <is>
          <t>원</t>
        </is>
      </c>
    </row>
    <row r="17">
      <c r="A17" s="2" t="inlineStr">
        <is>
          <t>shares</t>
        </is>
      </c>
      <c r="B17" s="34" t="inlineStr">
        <is>
          <t>상장주식수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백만주</t>
        </is>
      </c>
    </row>
    <row r="18">
      <c r="A18" s="2" t="inlineStr">
        <is>
          <t>dps</t>
        </is>
      </c>
      <c r="B18" s="34" t="inlineStr">
        <is>
          <t>DPS (참고)</t>
        </is>
      </c>
      <c r="C18" t="n">
        <v>6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dps_a</t>
        </is>
      </c>
      <c r="B19" s="35" t="inlineStr">
        <is>
          <t>DPS 실적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payout</t>
        </is>
      </c>
      <c r="B20" s="35" t="inlineStr">
        <is>
          <t>배당성향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%</t>
        </is>
      </c>
    </row>
    <row r="21">
      <c r="A21" s="2" t="inlineStr">
        <is>
          <t>total_revenue</t>
        </is>
      </c>
      <c r="B21" s="32" t="inlineStr">
        <is>
          <t>매출</t>
        </is>
      </c>
      <c r="C21" t="n">
        <v>4</v>
      </c>
      <c r="D21" t="inlineStr">
        <is>
          <t>computed</t>
        </is>
      </c>
      <c r="E21" t="inlineStr">
        <is>
          <t>Y</t>
        </is>
      </c>
      <c r="F21" t="n">
        <v>22</v>
      </c>
      <c r="G21" t="inlineStr">
        <is>
          <t>억원</t>
        </is>
      </c>
    </row>
    <row r="22">
      <c r="A22" s="2" t="inlineStr">
        <is>
          <t>component_total</t>
        </is>
      </c>
      <c r="B22" s="33" t="inlineStr">
        <is>
          <t>① 컴포넌트</t>
        </is>
      </c>
      <c r="C22" t="n">
        <v>5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comp_actual</t>
        </is>
      </c>
      <c r="B23" s="34" t="inlineStr">
        <is>
          <t>컴포넌트 실적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comp_vol_g</t>
        </is>
      </c>
      <c r="B24" s="34" t="inlineStr">
        <is>
          <t>컴포넌트 물량 성장률</t>
        </is>
      </c>
      <c r="C24" t="n">
        <v>6</v>
      </c>
      <c r="D24" t="inlineStr">
        <is>
          <t>input</t>
        </is>
      </c>
      <c r="E24" t="inlineStr"/>
      <c r="F24" t="n">
        <v>25</v>
      </c>
      <c r="G24" t="inlineStr">
        <is>
          <t>%</t>
        </is>
      </c>
    </row>
    <row r="25">
      <c r="A25" s="2" t="inlineStr">
        <is>
          <t>comp_price_g</t>
        </is>
      </c>
      <c r="B25" s="34" t="inlineStr">
        <is>
          <t>컴포넌트 단가·믹스 성장률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%</t>
        </is>
      </c>
    </row>
    <row r="26">
      <c r="A26" s="2" t="inlineStr">
        <is>
          <t>optics_total</t>
        </is>
      </c>
      <c r="B26" s="33" t="inlineStr">
        <is>
          <t>② 광학솔루션</t>
        </is>
      </c>
      <c r="C26" t="n">
        <v>5</v>
      </c>
      <c r="D26" t="inlineStr">
        <is>
          <t>computed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optics_actual</t>
        </is>
      </c>
      <c r="B27" s="34" t="inlineStr">
        <is>
          <t>광학 실적</t>
        </is>
      </c>
      <c r="C27" t="n">
        <v>6</v>
      </c>
      <c r="D27" t="inlineStr">
        <is>
          <t>input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optics_vol_g</t>
        </is>
      </c>
      <c r="B28" s="34" t="inlineStr">
        <is>
          <t>광학 물량 성장률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%</t>
        </is>
      </c>
    </row>
    <row r="29">
      <c r="A29" s="2" t="inlineStr">
        <is>
          <t>optics_price_g</t>
        </is>
      </c>
      <c r="B29" s="34" t="inlineStr">
        <is>
          <t>광학 단가·믹스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package_total</t>
        </is>
      </c>
      <c r="B30" s="33" t="inlineStr">
        <is>
          <t>③ 패키지솔루션</t>
        </is>
      </c>
      <c r="C30" t="n">
        <v>5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pkg_actual</t>
        </is>
      </c>
      <c r="B31" s="34" t="inlineStr">
        <is>
          <t>패키지 실적</t>
        </is>
      </c>
      <c r="C31" t="n">
        <v>6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pkg_vol_g</t>
        </is>
      </c>
      <c r="B32" s="34" t="inlineStr">
        <is>
          <t>패키지 물량 성장률</t>
        </is>
      </c>
      <c r="C32" t="n">
        <v>6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pkg_price_g</t>
        </is>
      </c>
      <c r="B33" s="34" t="inlineStr">
        <is>
          <t>패키지 단가·믹스 성장률</t>
        </is>
      </c>
      <c r="C33" t="n">
        <v>6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total_cost</t>
        </is>
      </c>
      <c r="B34" s="32" t="inlineStr">
        <is>
          <t>비용</t>
        </is>
      </c>
      <c r="C34" t="n">
        <v>4</v>
      </c>
      <c r="D34" t="inlineStr">
        <is>
          <t>computed</t>
        </is>
      </c>
      <c r="E34" t="inlineStr">
        <is>
          <t>Y</t>
        </is>
      </c>
      <c r="F34" t="n">
        <v>35</v>
      </c>
      <c r="G34" t="inlineStr">
        <is>
          <t>억원</t>
        </is>
      </c>
    </row>
    <row r="35">
      <c r="A35" s="2" t="inlineStr">
        <is>
          <t>comp_cost</t>
        </is>
      </c>
      <c r="B35" s="33" t="inlineStr">
        <is>
          <t>① 컴포넌트 비용</t>
        </is>
      </c>
      <c r="C35" t="n">
        <v>5</v>
      </c>
      <c r="D35" t="inlineStr">
        <is>
          <t>computed</t>
        </is>
      </c>
      <c r="E35" t="inlineStr">
        <is>
          <t>Y</t>
        </is>
      </c>
      <c r="F35" t="n">
        <v>36</v>
      </c>
      <c r="G35" t="inlineStr">
        <is>
          <t>억원</t>
        </is>
      </c>
    </row>
    <row r="36">
      <c r="A36" s="2" t="inlineStr">
        <is>
          <t>comp_dep</t>
        </is>
      </c>
      <c r="B36" s="34" t="inlineStr">
        <is>
          <t>컴포넌트 감가상각비</t>
        </is>
      </c>
      <c r="C36" t="n">
        <v>6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comp_dep_actual</t>
        </is>
      </c>
      <c r="B37" s="35" t="inlineStr">
        <is>
          <t>컴포넌트 감가 실적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comp_dep_g</t>
        </is>
      </c>
      <c r="B38" s="35" t="inlineStr">
        <is>
          <t>컴포넌트 감가 증가율</t>
        </is>
      </c>
      <c r="C38" t="n">
        <v>7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comp_other</t>
        </is>
      </c>
      <c r="B39" s="34" t="inlineStr">
        <is>
          <t>컴포넌트 기타비용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comp_other_actual</t>
        </is>
      </c>
      <c r="B40" s="35" t="inlineStr">
        <is>
          <t>컴포넌트 기타비용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comp_other_ratio</t>
        </is>
      </c>
      <c r="B41" s="35" t="inlineStr">
        <is>
          <t>컴포넌트 기타비용률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optics_cost</t>
        </is>
      </c>
      <c r="B42" s="33" t="inlineStr">
        <is>
          <t>② 광학 비용</t>
        </is>
      </c>
      <c r="C42" t="n">
        <v>5</v>
      </c>
      <c r="D42" t="inlineStr">
        <is>
          <t>computed</t>
        </is>
      </c>
      <c r="E42" t="inlineStr">
        <is>
          <t>Y</t>
        </is>
      </c>
      <c r="F42" t="n">
        <v>43</v>
      </c>
      <c r="G42" t="inlineStr">
        <is>
          <t>억원</t>
        </is>
      </c>
    </row>
    <row r="43">
      <c r="A43" s="2" t="inlineStr">
        <is>
          <t>optics_dep</t>
        </is>
      </c>
      <c r="B43" s="34" t="inlineStr">
        <is>
          <t>광학 감가상각비</t>
        </is>
      </c>
      <c r="C43" t="n">
        <v>6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optics_dep_actual</t>
        </is>
      </c>
      <c r="B44" s="35" t="inlineStr">
        <is>
          <t>광학 감가 실적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optics_dep_g</t>
        </is>
      </c>
      <c r="B45" s="35" t="inlineStr">
        <is>
          <t>광학 감가 증가율</t>
        </is>
      </c>
      <c r="C45" t="n">
        <v>7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optics_other</t>
        </is>
      </c>
      <c r="B46" s="34" t="inlineStr">
        <is>
          <t>광학 기타비용</t>
        </is>
      </c>
      <c r="C46" t="n">
        <v>6</v>
      </c>
      <c r="D46" t="inlineStr">
        <is>
          <t>computed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optics_other_actual</t>
        </is>
      </c>
      <c r="B47" s="35" t="inlineStr">
        <is>
          <t>광학 기타비용 실적</t>
        </is>
      </c>
      <c r="C47" t="n">
        <v>7</v>
      </c>
      <c r="D47" t="inlineStr">
        <is>
          <t>input</t>
        </is>
      </c>
      <c r="E47" t="inlineStr"/>
      <c r="F47" t="n">
        <v>48</v>
      </c>
      <c r="G47" t="inlineStr">
        <is>
          <t>억원</t>
        </is>
      </c>
    </row>
    <row r="48">
      <c r="A48" s="2" t="inlineStr">
        <is>
          <t>optics_other_ratio</t>
        </is>
      </c>
      <c r="B48" s="35" t="inlineStr">
        <is>
          <t>광학 기타비용률</t>
        </is>
      </c>
      <c r="C48" t="n">
        <v>7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pkg_cost</t>
        </is>
      </c>
      <c r="B49" s="33" t="inlineStr">
        <is>
          <t>③ 패키지 비용</t>
        </is>
      </c>
      <c r="C49" t="n">
        <v>5</v>
      </c>
      <c r="D49" t="inlineStr">
        <is>
          <t>computed</t>
        </is>
      </c>
      <c r="E49" t="inlineStr">
        <is>
          <t>Y</t>
        </is>
      </c>
      <c r="F49" t="n">
        <v>50</v>
      </c>
      <c r="G49" t="inlineStr">
        <is>
          <t>억원</t>
        </is>
      </c>
    </row>
    <row r="50">
      <c r="A50" s="2" t="inlineStr">
        <is>
          <t>pkg_dep</t>
        </is>
      </c>
      <c r="B50" s="34" t="inlineStr">
        <is>
          <t>패키지 감가상각비</t>
        </is>
      </c>
      <c r="C50" t="n">
        <v>6</v>
      </c>
      <c r="D50" t="inlineStr">
        <is>
          <t>computed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pkg_dep_actual</t>
        </is>
      </c>
      <c r="B51" s="35" t="inlineStr">
        <is>
          <t>패키지 감가 실적</t>
        </is>
      </c>
      <c r="C51" t="n">
        <v>7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  <row r="52">
      <c r="A52" s="2" t="inlineStr">
        <is>
          <t>pkg_dep_g</t>
        </is>
      </c>
      <c r="B52" s="35" t="inlineStr">
        <is>
          <t>패키지 감가 증가율</t>
        </is>
      </c>
      <c r="C52" t="n">
        <v>7</v>
      </c>
      <c r="D52" t="inlineStr">
        <is>
          <t>input</t>
        </is>
      </c>
      <c r="E52" t="inlineStr"/>
      <c r="F52" t="n">
        <v>53</v>
      </c>
      <c r="G52" t="inlineStr">
        <is>
          <t>%</t>
        </is>
      </c>
    </row>
    <row r="53">
      <c r="A53" s="2" t="inlineStr">
        <is>
          <t>pkg_other</t>
        </is>
      </c>
      <c r="B53" s="34" t="inlineStr">
        <is>
          <t>패키지 기타비용</t>
        </is>
      </c>
      <c r="C53" t="n">
        <v>6</v>
      </c>
      <c r="D53" t="inlineStr">
        <is>
          <t>computed</t>
        </is>
      </c>
      <c r="E53" t="inlineStr"/>
      <c r="F53" t="n">
        <v>54</v>
      </c>
      <c r="G53" t="inlineStr">
        <is>
          <t>억원</t>
        </is>
      </c>
    </row>
    <row r="54">
      <c r="A54" s="2" t="inlineStr">
        <is>
          <t>pkg_other_actual</t>
        </is>
      </c>
      <c r="B54" s="35" t="inlineStr">
        <is>
          <t>패키지 기타비용 실적</t>
        </is>
      </c>
      <c r="C54" t="n">
        <v>7</v>
      </c>
      <c r="D54" t="inlineStr">
        <is>
          <t>input</t>
        </is>
      </c>
      <c r="E54" t="inlineStr"/>
      <c r="F54" t="n">
        <v>55</v>
      </c>
      <c r="G54" t="inlineStr">
        <is>
          <t>억원</t>
        </is>
      </c>
    </row>
    <row r="55">
      <c r="A55" s="2" t="inlineStr">
        <is>
          <t>pkg_other_ratio</t>
        </is>
      </c>
      <c r="B55" s="35" t="inlineStr">
        <is>
          <t>패키지 기타비용률</t>
        </is>
      </c>
      <c r="C55" t="n">
        <v>7</v>
      </c>
      <c r="D55" t="inlineStr">
        <is>
          <t>input</t>
        </is>
      </c>
      <c r="E55" t="inlineStr"/>
      <c r="F55" t="n">
        <v>56</v>
      </c>
      <c r="G55" t="inlineStr">
        <is>
          <t>%</t>
        </is>
      </c>
    </row>
    <row r="56">
      <c r="A56" s="2" t="inlineStr">
        <is>
          <t>net_debt</t>
        </is>
      </c>
      <c r="B56" s="29" t="inlineStr">
        <is>
          <t>순차입금</t>
        </is>
      </c>
      <c r="C56" t="n">
        <v>1</v>
      </c>
      <c r="D56" t="inlineStr">
        <is>
          <t>input</t>
        </is>
      </c>
      <c r="E56" t="inlineStr"/>
      <c r="F56" t="n">
        <v>57</v>
      </c>
      <c r="G56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ROUND(Model!D22-(Model!D23+Model!D27+Model!D31),6)</f>
        <v/>
      </c>
      <c r="E6" s="36">
        <f>ROUND(Model!E22-(Model!E23+Model!E27+Model!E31),6)</f>
        <v/>
      </c>
      <c r="F6" s="36">
        <f>ROUND(Model!F22-(Model!F23+Model!F27+Model!F31),6)</f>
        <v/>
      </c>
      <c r="G6" s="36">
        <f>ROUND(Model!G22-(Model!G23+Model!G27+Model!G31),6)</f>
        <v/>
      </c>
      <c r="H6" s="36">
        <f>ROUND(Model!H22-(Model!H23+Model!H27+Model!H31),6)</f>
        <v/>
      </c>
      <c r="I6" s="36">
        <f>ROUND(Model!I22-(Model!I23+Model!I27+Model!I31),6)</f>
        <v/>
      </c>
      <c r="J6" s="36">
        <f>ROUND(Model!J22-(Model!J23+Model!J27+Model!J31),6)</f>
        <v/>
      </c>
      <c r="K6" s="36">
        <f>ROUND(Model!K22-(Model!K23+Model!K27+Model!K31),6)</f>
        <v/>
      </c>
      <c r="L6" s="36">
        <f>ROUND(Model!L22-(Model!L23+Model!L27+Model!L31),6)</f>
        <v/>
      </c>
      <c r="M6" s="36">
        <f>ROUND(Model!M22-(Model!M23+Model!M27+Model!M31),6)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ROUND(Model!D35-(Model!D36+Model!D43+Model!D50),6)</f>
        <v/>
      </c>
      <c r="E7" s="36">
        <f>ROUND(Model!E35-(Model!E36+Model!E43+Model!E50),6)</f>
        <v/>
      </c>
      <c r="F7" s="36">
        <f>ROUND(Model!F35-(Model!F36+Model!F43+Model!F50),6)</f>
        <v/>
      </c>
      <c r="G7" s="36">
        <f>ROUND(Model!G35-(Model!G36+Model!G43+Model!G50),6)</f>
        <v/>
      </c>
      <c r="H7" s="36">
        <f>ROUND(Model!H35-(Model!H36+Model!H43+Model!H50),6)</f>
        <v/>
      </c>
      <c r="I7" s="36">
        <f>ROUND(Model!I35-(Model!I36+Model!I43+Model!I50),6)</f>
        <v/>
      </c>
      <c r="J7" s="36">
        <f>ROUND(Model!J35-(Model!J36+Model!J43+Model!J50),6)</f>
        <v/>
      </c>
      <c r="K7" s="36">
        <f>ROUND(Model!K35-(Model!K36+Model!K43+Model!K50),6)</f>
        <v/>
      </c>
      <c r="L7" s="36">
        <f>ROUND(Model!L35-(Model!L36+Model!L43+Model!L50),6)</f>
        <v/>
      </c>
      <c r="M7" s="36">
        <f>ROUND(Model!M35-(Model!M36+Model!M43+Model!M50),6)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ROUND(Model!D36-(Model!D37+Model!D40),6)</f>
        <v/>
      </c>
      <c r="E8" s="36">
        <f>ROUND(Model!E36-(Model!E37+Model!E40),6)</f>
        <v/>
      </c>
      <c r="F8" s="36">
        <f>ROUND(Model!F36-(Model!F37+Model!F40),6)</f>
        <v/>
      </c>
      <c r="G8" s="36">
        <f>ROUND(Model!G36-(Model!G37+Model!G40),6)</f>
        <v/>
      </c>
      <c r="H8" s="36">
        <f>ROUND(Model!H36-(Model!H37+Model!H40),6)</f>
        <v/>
      </c>
      <c r="I8" s="36">
        <f>ROUND(Model!I36-(Model!I37+Model!I40),6)</f>
        <v/>
      </c>
      <c r="J8" s="36">
        <f>ROUND(Model!J36-(Model!J37+Model!J40),6)</f>
        <v/>
      </c>
      <c r="K8" s="36">
        <f>ROUND(Model!K36-(Model!K37+Model!K40),6)</f>
        <v/>
      </c>
      <c r="L8" s="36">
        <f>ROUND(Model!L36-(Model!L37+Model!L40),6)</f>
        <v/>
      </c>
      <c r="M8" s="36">
        <f>ROUND(Model!M36-(Model!M37+Model!M40),6)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ROUND(Model!D43-(Model!D44+Model!D47),6)</f>
        <v/>
      </c>
      <c r="E9" s="36">
        <f>ROUND(Model!E43-(Model!E44+Model!E47),6)</f>
        <v/>
      </c>
      <c r="F9" s="36">
        <f>ROUND(Model!F43-(Model!F44+Model!F47),6)</f>
        <v/>
      </c>
      <c r="G9" s="36">
        <f>ROUND(Model!G43-(Model!G44+Model!G47),6)</f>
        <v/>
      </c>
      <c r="H9" s="36">
        <f>ROUND(Model!H43-(Model!H44+Model!H47),6)</f>
        <v/>
      </c>
      <c r="I9" s="36">
        <f>ROUND(Model!I43-(Model!I44+Model!I47),6)</f>
        <v/>
      </c>
      <c r="J9" s="36">
        <f>ROUND(Model!J43-(Model!J44+Model!J47),6)</f>
        <v/>
      </c>
      <c r="K9" s="36">
        <f>ROUND(Model!K43-(Model!K44+Model!K47),6)</f>
        <v/>
      </c>
      <c r="L9" s="36">
        <f>ROUND(Model!L43-(Model!L44+Model!L47),6)</f>
        <v/>
      </c>
      <c r="M9" s="36">
        <f>ROUND(Model!M43-(Model!M44+Model!M47),6)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ROUND(Model!D50-(Model!D51+Model!D54),6)</f>
        <v/>
      </c>
      <c r="E10" s="36">
        <f>ROUND(Model!E50-(Model!E51+Model!E54),6)</f>
        <v/>
      </c>
      <c r="F10" s="36">
        <f>ROUND(Model!F50-(Model!F51+Model!F54),6)</f>
        <v/>
      </c>
      <c r="G10" s="36">
        <f>ROUND(Model!G50-(Model!G51+Model!G54),6)</f>
        <v/>
      </c>
      <c r="H10" s="36">
        <f>ROUND(Model!H50-(Model!H51+Model!H54),6)</f>
        <v/>
      </c>
      <c r="I10" s="36">
        <f>ROUND(Model!I50-(Model!I51+Model!I54),6)</f>
        <v/>
      </c>
      <c r="J10" s="36">
        <f>ROUND(Model!J50-(Model!J51+Model!J54),6)</f>
        <v/>
      </c>
      <c r="K10" s="36">
        <f>ROUND(Model!K50-(Model!K51+Model!K54),6)</f>
        <v/>
      </c>
      <c r="L10" s="36">
        <f>ROUND(Model!L50-(Model!L51+Model!L54),6)</f>
        <v/>
      </c>
      <c r="M10" s="36">
        <f>ROUND(Model!M50-(Model!M51+Model!M54),6)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905ed1de8424c7c0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53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
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삼성전기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삼성전기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18</v>
      </c>
      <c r="E5" s="9" t="n">
        <v>18</v>
      </c>
      <c r="F5" s="9" t="n">
        <v>18</v>
      </c>
      <c r="G5" s="9" t="n">
        <v>18</v>
      </c>
      <c r="H5" s="9" t="n">
        <v>18</v>
      </c>
      <c r="I5" s="10" t="n">
        <v>18</v>
      </c>
      <c r="J5" s="10" t="n">
        <v>18</v>
      </c>
      <c r="K5" s="10" t="n">
        <v>18</v>
      </c>
      <c r="L5" s="10" t="n">
        <v>18</v>
      </c>
      <c r="M5" s="10" t="n">
        <v>18</v>
      </c>
      <c r="N5" s="11" t="inlineStr">
        <is>
          <t>[주관·시나리오] **2026-08-28 15배 → 18배 상향.** 근거는 해외 피어다. 2026 부문 EBITDA 비중(컴포넌트 55.2% · 패키지 32.2% · 광학 12.7%)으로 피어 배수를 가중하면 22.9배가 나온다 (MLCC 무라타·야게오 평균 24.0 · FC-BGA 이비덴·신코덴키 평균 26.7 · 광학 LG이노텍 8.3). 그러나 이 배수들은 **지금 시점의 TTM**이고 목표배수는 2030년에 적용하는 값이다. 테마 프리미엄이 5년 뒤에도 유지된다는 가정은 두지 않았다. 가중평균 22.9배와 국내 AI 기판 2026E 상단(21.3배) 아래인 18배를 택했다.  이 모델에서 가장 강력한 단일 가정이다. 값을 두 배로 하면 적정가치도 두 배가 된다. 국내 부품사 역사적 중간값은 5~8배 수준이나, 전장·서버 믹스 전환과 AI 수요를 반영해 프리미엄을 적용했다. 현재 주가가 함의하는 배수는 심사 뷰에서 역산해 함께 본다.</t>
        </is>
      </c>
    </row>
    <row r="6">
      <c r="A6" s="5" t="inlineStr">
        <is>
          <t>컴포넌트 실적</t>
        </is>
      </c>
      <c r="B6" s="2" t="inlineStr">
        <is>
          <t>comp_actual</t>
        </is>
      </c>
      <c r="C6" s="2" t="inlineStr">
        <is>
          <t>억원</t>
        </is>
      </c>
      <c r="D6" s="9" t="n">
        <v>47718.3</v>
      </c>
      <c r="E6" s="9" t="n">
        <v>41322.83</v>
      </c>
      <c r="F6" s="9" t="n">
        <v>39030.22</v>
      </c>
      <c r="G6" s="9" t="n">
        <v>44620.5</v>
      </c>
      <c r="H6" s="9" t="n">
        <v>51985.01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[객관·확정] 사업보고서 영업부문 주석. 2021~2022는 최초 공시 기준, 2023~2025는 중단영업 재작성 기준(컴포넌트는 재작성 영향 없음). 추정 연도는 0 — 0이면 성장률 경로로 넘어간다.</t>
        </is>
      </c>
    </row>
    <row r="7">
      <c r="A7" s="5" t="inlineStr">
        <is>
          <t>컴포넌트 물량 성장률</t>
        </is>
      </c>
      <c r="B7" s="2" t="inlineStr">
        <is>
          <t>comp_vol_g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0.14</v>
      </c>
      <c r="J7" s="13" t="n">
        <v>0.09</v>
      </c>
      <c r="K7" s="13" t="n">
        <v>0.07000000000000001</v>
      </c>
      <c r="L7" s="13" t="n">
        <v>0.05</v>
      </c>
      <c r="M7" s="13" t="n">
        <v>0.05</v>
      </c>
      <c r="N7" s="11" t="inlineStr">
        <is>
          <t>[주관·시나리오] **2026-08-28 상향** (기존 8/7/6/5/5%). 2026 상반기 확정 매출 30,579억, 전년 동기 대비 +22.5%. 계절성(H2/H1 평균 1.063)과 YoY 연장 두 방법이 FY2026을 63,079억·63,663억으로 서로 1% 안에서 일치해 63,371억을 채택했고, 이는 2025년 대비 +21.9%다. 물량 14% × 단가 7%로 나눴다. 2027 이후는 기저가 커지므로 더 가파르게 체감시킨다.  출하 수량 성장률. 전장(대당 탑재량 상승)과 서버·AI (고용량 제품)가 구조적 성장축이고 IT는 사이클성. 공시가 출하 수량을 주지 않아 물량과 단가의 분리는 추정이며, 이 슬라이더가 그 가정이다.</t>
        </is>
      </c>
    </row>
    <row r="8">
      <c r="A8" s="5" t="inlineStr">
        <is>
          <t>컴포넌트 단가·믹스 성장률</t>
        </is>
      </c>
      <c r="B8" s="2" t="inlineStr">
        <is>
          <t>comp_price_g</t>
        </is>
      </c>
      <c r="C8" s="2" t="inlineStr">
        <is>
          <t>%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3" t="n">
        <v>0.07000000000000001</v>
      </c>
      <c r="J8" s="13" t="n">
        <v>0.04</v>
      </c>
      <c r="K8" s="13" t="n">
        <v>0.03</v>
      </c>
      <c r="L8" s="13" t="n">
        <v>0.02</v>
      </c>
      <c r="M8" s="13" t="n">
        <v>0.02</v>
      </c>
      <c r="N8" s="11" t="inlineStr">
        <is>
          <t>[주관·시나리오] **2026-08-28 상향** (기존 4/3/3/2/2%). AI 서버용 고용량 제품 믹스 상승분을 단가 쪽에 배분했다. 공시가 부문별 출하 수량을 주지 않아 물량·단가 분해는 여전히 판단이다 — 합계 증가율만 실적에서 확정된다.  블렌디드 단가 상승률. 전장·서버 비중이 오르면 같은 수량에도 매출이 오른다. 범용 IT 제품은 공급과잉 시 하락 압력. 비용 레이어의 부문 마진과 공유하는 드라이버 — 믹스 개선은 매출과 마진을 함께 끌어올린다.</t>
        </is>
      </c>
    </row>
    <row r="9">
      <c r="A9" s="5" t="inlineStr">
        <is>
          <t>광학 실적</t>
        </is>
      </c>
      <c r="B9" s="2" t="inlineStr">
        <is>
          <t>optics_actual</t>
        </is>
      </c>
      <c r="C9" s="2" t="inlineStr">
        <is>
          <t>억원</t>
        </is>
      </c>
      <c r="D9" s="9" t="n">
        <v>32240.56</v>
      </c>
      <c r="E9" s="9" t="n">
        <v>32039.5</v>
      </c>
      <c r="F9" s="9" t="n">
        <v>32720.12</v>
      </c>
      <c r="G9" s="9" t="n">
        <v>37973.96</v>
      </c>
      <c r="H9" s="9" t="n">
        <v>38142.05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[객관·확정] 사업보고서 영업부문 주석. 2021~2022는 최초 공시(광학통신솔루션), 2023~2025는 중단영업 재작성 기준(광학솔루션). 재작성 차이는 전액 이 부문에 있으며 2023 기준 170억(적자 사업) — 총매출의 0.19%.</t>
        </is>
      </c>
    </row>
    <row r="10">
      <c r="A10" s="5" t="inlineStr">
        <is>
          <t>광학 물량 성장률</t>
        </is>
      </c>
      <c r="B10" s="2" t="inlineStr">
        <is>
          <t>optics_vol_g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0.03</v>
      </c>
      <c r="J10" s="13" t="n">
        <v>0.01</v>
      </c>
      <c r="K10" s="13" t="n">
        <v>0.01</v>
      </c>
      <c r="L10" s="13" t="n">
        <v>0</v>
      </c>
      <c r="M10" s="13" t="n">
        <v>0</v>
      </c>
      <c r="N10" s="11" t="inlineStr">
        <is>
          <t>[주관·시나리오] **2026-08-28 소폭 상향** (기존 1/1/1/0/0%). 상반기 +7.6%로 기존 가정을 웃돌았으나, 이 부문은 계절성이 역방향(H2/H1 0.879)이라 상반기 강세를 연간으로 그대로 연장하지 않았다. FY2026 40,359억(+5.8%).  모듈 출하량 성장률 = 고객사 물량 × 고객사 내 점유율. 두 변수가 곱으로 들어가 하방 변동이 증폭된다. 경쟁사 진입이 이 부문 최대 위험이며 Bear 시나리오에서 가장 크게 흔들 변수다.</t>
        </is>
      </c>
    </row>
    <row r="11">
      <c r="A11" s="5" t="inlineStr">
        <is>
          <t>광학 단가·믹스 성장률</t>
        </is>
      </c>
      <c r="B11" s="2" t="inlineStr">
        <is>
          <t>optics_price_g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0.027</v>
      </c>
      <c r="J11" s="13" t="n">
        <v>0.02</v>
      </c>
      <c r="K11" s="13" t="n">
        <v>0.02</v>
      </c>
      <c r="L11" s="13" t="n">
        <v>0.02</v>
      </c>
      <c r="M11" s="13" t="n">
        <v>0.01</v>
      </c>
      <c r="N11" s="11" t="inlineStr">
        <is>
          <t>[주관] 모듈 ASP 상승률. 고화소·폴디드줌·OIS 등 고사양 채용이 단가를 끌어올리지만 고객사 원가절감 압력이 상쇄한다. 물량 정체 국면에서 이 부문 성장은 사실상 단가에 달려 있다.</t>
        </is>
      </c>
    </row>
    <row r="12">
      <c r="A12" s="5" t="inlineStr">
        <is>
          <t>패키지 실적</t>
        </is>
      </c>
      <c r="B12" s="2" t="inlineStr">
        <is>
          <t>pkg_actual</t>
        </is>
      </c>
      <c r="C12" s="2" t="inlineStr">
        <is>
          <t>억원</t>
        </is>
      </c>
      <c r="D12" s="9" t="n">
        <v>16791.5</v>
      </c>
      <c r="E12" s="9" t="n">
        <v>20883.19</v>
      </c>
      <c r="F12" s="9" t="n">
        <v>17173.78</v>
      </c>
      <c r="G12" s="9" t="n">
        <v>20346.57</v>
      </c>
      <c r="H12" s="9" t="n">
        <v>23017.53</v>
      </c>
      <c r="I12" s="10" t="n">
        <v>0</v>
      </c>
      <c r="J12" s="10" t="n">
        <v>0</v>
      </c>
      <c r="K12" s="10" t="n">
        <v>0</v>
      </c>
      <c r="L12" s="10" t="n">
        <v>0</v>
      </c>
      <c r="M12" s="10" t="n">
        <v>0</v>
      </c>
      <c r="N12" s="11" t="inlineStr">
        <is>
          <t>[객관·확정] 사업보고서 영업부문 주석. 재작성 영향 없음. 2022 고점 → 2023 −17.8%(전방 재고조정) → 2년 연속 회복.</t>
        </is>
      </c>
    </row>
    <row r="13">
      <c r="A13" s="5" t="inlineStr">
        <is>
          <t>패키지 물량 성장률</t>
        </is>
      </c>
      <c r="B13" s="2" t="inlineStr">
        <is>
          <t>pkg_vol_g</t>
        </is>
      </c>
      <c r="C13" s="2" t="inlineStr">
        <is>
          <t>%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3" t="n">
        <v>0.26</v>
      </c>
      <c r="J13" s="13" t="n">
        <v>0.16</v>
      </c>
      <c r="K13" s="13" t="n">
        <v>0.12</v>
      </c>
      <c r="L13" s="13" t="n">
        <v>0.09</v>
      </c>
      <c r="M13" s="13" t="n">
        <v>0.07000000000000001</v>
      </c>
      <c r="N13" s="11" t="inlineStr">
        <is>
          <t>[주관·시나리오] **2026-08-28 대폭 상향** (기존 12/12/10/8/6%). 2026 상반기 매출 14,966억, 전년 동기 10,640억 대비 **+40.7%**. 두 추정법이 FY2026을 32,612억·32,378억으로 일치시켜 32,495억(+41.2%)을 채택했다. 이 모델에서 가장 크게 바뀐 가정이며, FC-BGA 증설분이 실제로 매출로 전환되고 있다는 뜻이다.  출하 물량 성장률 = 증설 생산능력 × 가동률. 공급 바인딩 부문이라 이 값이 증설 일정에 묶인다. 증설 CAPEX 일정은 Phase 2에서 감가상각 롤포워드로 연결되므로, 여기서 물량을 올리면 비용도 함께 올라야 정합적이다.</t>
        </is>
      </c>
    </row>
    <row r="14">
      <c r="A14" s="5" t="inlineStr">
        <is>
          <t>패키지 단가·믹스 성장률</t>
        </is>
      </c>
      <c r="B14" s="2" t="inlineStr">
        <is>
          <t>pkg_price_g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0.12</v>
      </c>
      <c r="J14" s="13" t="n">
        <v>0.05</v>
      </c>
      <c r="K14" s="13" t="n">
        <v>0.03</v>
      </c>
      <c r="L14" s="13" t="n">
        <v>0.02</v>
      </c>
      <c r="M14" s="13" t="n">
        <v>0.02</v>
      </c>
      <c r="N14" s="11" t="inlineStr">
        <is>
          <t>[주관] **2026-08-28 상향** (기존 3/3/2/2/2%). AI 기판은 층수·면적 확대가 단가로 직결되므로 초기 구간에 단가 기여를 크게 두었다. 2027부터는 경쟁 진입을 가정해 빠르게 낮춘다.  블렌디드 단가 상승률. 서버·AI용 FC-BGA 비중이 오르면 단가가 오른다. 모바일 AP용 범용 기판은 경쟁이 심해 단가 방어가 어렵다.</t>
        </is>
      </c>
    </row>
    <row r="15">
      <c r="A15" s="5" t="inlineStr">
        <is>
          <t>컴포넌트 감가 실적</t>
        </is>
      </c>
      <c r="B15" s="2" t="inlineStr">
        <is>
          <t>comp_dep_actual</t>
        </is>
      </c>
      <c r="C15" s="2" t="inlineStr">
        <is>
          <t>억원</t>
        </is>
      </c>
      <c r="D15" s="9" t="n">
        <v>5416.62</v>
      </c>
      <c r="E15" s="9" t="n">
        <v>5699</v>
      </c>
      <c r="F15" s="9" t="n">
        <v>4921.87</v>
      </c>
      <c r="G15" s="9" t="n">
        <v>4242.86</v>
      </c>
      <c r="H15" s="9" t="n">
        <v>4392.41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[객관·확정] 사업보고서 영업부문 주석의 부문별 감가상각비.</t>
        </is>
      </c>
    </row>
    <row r="16">
      <c r="A16" s="5" t="inlineStr">
        <is>
          <t>컴포넌트 감가 증가율</t>
        </is>
      </c>
      <c r="B16" s="2" t="inlineStr">
        <is>
          <t>comp_dep_g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-0.03</v>
      </c>
      <c r="J16" s="13" t="n">
        <v>0.02</v>
      </c>
      <c r="K16" s="13" t="n">
        <v>0.02</v>
      </c>
      <c r="L16" s="13" t="n">
        <v>0.01</v>
      </c>
      <c r="M16" s="13" t="n">
        <v>0.01</v>
      </c>
      <c r="N16" s="11" t="inlineStr">
        <is>
          <t>[주관] **2026-08-28 하향** (기존 2/2/2/1/1%). 상반기 감가상각비 2,125억, 연환산 4,250억으로 2025년 4,392억 대비 **−3.2%**다. 컴포넌트 증설은 이미 정점을 지났다 — 실적이 가정을 바꿔준 사례.  감가상각비 증가율. 전사 CAPEX가 2024년 7,760억에서 2025년 11,921억으로 늘어 상각 부담이 다시 커지는 방향이나, 컴포넌트는 증설 강도가 패키지보다 낮아 완만한 증가로 본다.</t>
        </is>
      </c>
    </row>
    <row r="17">
      <c r="A17" s="5" t="inlineStr">
        <is>
          <t>컴포넌트 기타비용 실적</t>
        </is>
      </c>
      <c r="B17" s="2" t="inlineStr">
        <is>
          <t>comp_other_actual</t>
        </is>
      </c>
      <c r="C17" s="2" t="inlineStr">
        <is>
          <t>억원</t>
        </is>
      </c>
      <c r="D17" s="9" t="n">
        <v>31666.28</v>
      </c>
      <c r="E17" s="9" t="n">
        <v>29546.44</v>
      </c>
      <c r="F17" s="9" t="n">
        <v>30492.41</v>
      </c>
      <c r="G17" s="9" t="n">
        <v>35980.2</v>
      </c>
      <c r="H17" s="9" t="n">
        <v>41499.01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[객관·확정] 매출 − 영업이익 − 감가상각비. 세 항목 모두 공시 확정값이라 이 값도 확정이다. 별도 가정이 들어가지 않았다.</t>
        </is>
      </c>
    </row>
    <row r="18">
      <c r="A18" s="5" t="inlineStr">
        <is>
          <t>컴포넌트 기타비용률</t>
        </is>
      </c>
      <c r="B18" s="2" t="inlineStr">
        <is>
          <t>comp_other_ratio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0.78</v>
      </c>
      <c r="J18" s="13" t="n">
        <v>0.771</v>
      </c>
      <c r="K18" s="13" t="n">
        <v>0.764</v>
      </c>
      <c r="L18" s="13" t="n">
        <v>0.758</v>
      </c>
      <c r="M18" s="13" t="n">
        <v>0.753</v>
      </c>
      <c r="N18" s="11" t="inlineStr">
        <is>
          <t>[주관·시나리오] **2026-08-28 하향** (기존 79.6 → 78.0%). 상반기 실적 78.7%, 2026Q2만 보면 76.5%로 2025Q2 79.3%에서 2.8%p 개선됐다. 가동률 가설이 맞는 쪽으로 움직이는 중이라 개선 속도를 연 0.7%p 안팎으로 올렸다. 2021년 수준(66.4%)까지는 여전히 가정하지 않는다.  매출 대비 기타비용 비율. 실적: 66.4% → 71.5% → 78.1% → 80.6% → 79.8%. 5년간 13%p 악화된 것이 이 부문 마진 하락의 주범이다. Base는 5년간 1.8%p 회복을 가정한다 — 악화 폭의 약 7분의 1만 되돌리는 보수적 설정이다. 그래도 이 가정이 전사 이익 추정을 가장 크게 흔드는 변수이므로, 2025년 수준 고정 시나리오를 반드시 함께 본다.</t>
        </is>
      </c>
    </row>
    <row r="19">
      <c r="A19" s="5" t="inlineStr">
        <is>
          <t>광학 감가 실적</t>
        </is>
      </c>
      <c r="B19" s="2" t="inlineStr">
        <is>
          <t>optics_dep_actual</t>
        </is>
      </c>
      <c r="C19" s="2" t="inlineStr">
        <is>
          <t>억원</t>
        </is>
      </c>
      <c r="D19" s="9" t="n">
        <v>957.36</v>
      </c>
      <c r="E19" s="9" t="n">
        <v>1209.65</v>
      </c>
      <c r="F19" s="9" t="n">
        <v>888.4400000000001</v>
      </c>
      <c r="G19" s="9" t="n">
        <v>722.89</v>
      </c>
      <c r="H19" s="9" t="n">
        <v>513.11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[객관·확정] 사업보고서 영업부문 주석의 부문별 감가상각비.</t>
        </is>
      </c>
    </row>
    <row r="20">
      <c r="A20" s="5" t="inlineStr">
        <is>
          <t>광학 감가 증가율</t>
        </is>
      </c>
      <c r="B20" s="2" t="inlineStr">
        <is>
          <t>optics_dep_g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0.08</v>
      </c>
      <c r="J20" s="13" t="n">
        <v>-0.02</v>
      </c>
      <c r="K20" s="13" t="n">
        <v>0</v>
      </c>
      <c r="L20" s="13" t="n">
        <v>0</v>
      </c>
      <c r="M20" s="13" t="n">
        <v>0</v>
      </c>
      <c r="N20" s="11" t="inlineStr">
        <is>
          <t>[주관] **2026-08-28 상향** (기존 −5/−3/0/0/0%). 상반기 연환산 555억으로 2025년 513억 대비 +8.1%. 감소를 가정했으나 실제로는 늘었다.  감소 추세가 완만해지다 멈추는 것으로 본다. 신규 증설 계획이 확인되면 상향해야 한다.</t>
        </is>
      </c>
    </row>
    <row r="21">
      <c r="A21" s="5" t="inlineStr">
        <is>
          <t>광학 기타비용 실적</t>
        </is>
      </c>
      <c r="B21" s="2" t="inlineStr">
        <is>
          <t>optics_other_actual</t>
        </is>
      </c>
      <c r="C21" s="2" t="inlineStr">
        <is>
          <t>억원</t>
        </is>
      </c>
      <c r="D21" s="9" t="n">
        <v>29671.91</v>
      </c>
      <c r="E21" s="9" t="n">
        <v>29725.37</v>
      </c>
      <c r="F21" s="9" t="n">
        <v>30608.17</v>
      </c>
      <c r="G21" s="9" t="n">
        <v>35874.87</v>
      </c>
      <c r="H21" s="9" t="n">
        <v>35941.48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[객관·확정] 매출 − 영업이익 − 감가상각비.</t>
        </is>
      </c>
    </row>
    <row r="22">
      <c r="A22" s="5" t="inlineStr">
        <is>
          <t>광학 기타비용률</t>
        </is>
      </c>
      <c r="B22" s="2" t="inlineStr">
        <is>
          <t>optics_other_ratio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0.93</v>
      </c>
      <c r="J22" s="13" t="n">
        <v>0.931</v>
      </c>
      <c r="K22" s="13" t="n">
        <v>0.9320000000000001</v>
      </c>
      <c r="L22" s="13" t="n">
        <v>0.9330000000000001</v>
      </c>
      <c r="M22" s="13" t="n">
        <v>0.9330000000000001</v>
      </c>
      <c r="N22" s="11" t="inlineStr">
        <is>
          <t>[주관] **2026-08-28 하향** (기존 94.2 → 93.0%). 상반기 실적 92.9%로 가정보다 좋았다. 다만 이 부문은 5년간 92~94% 안에 갇혀 있어 추세 개선으로 읽지 않는다 — 실적값에 맞추고 이후는 소폭 악화로 되돌린다.  실적: 92.0% → 92.8% → 93.5% → 94.5% → 94.2%. 고객사 원가절감 압력이 상시적이라 개선 여지가 거의 없는 것으로 본다. 거의 고정으로 두는 것이 보수적이다.</t>
        </is>
      </c>
    </row>
    <row r="23">
      <c r="A23" s="5" t="inlineStr">
        <is>
          <t>패키지 감가 실적</t>
        </is>
      </c>
      <c r="B23" s="2" t="inlineStr">
        <is>
          <t>pkg_dep_actual</t>
        </is>
      </c>
      <c r="C23" s="2" t="inlineStr">
        <is>
          <t>억원</t>
        </is>
      </c>
      <c r="D23" s="9" t="n">
        <v>1119.2</v>
      </c>
      <c r="E23" s="9" t="n">
        <v>1165.95</v>
      </c>
      <c r="F23" s="9" t="n">
        <v>1843.56</v>
      </c>
      <c r="G23" s="9" t="n">
        <v>2673.14</v>
      </c>
      <c r="H23" s="9" t="n">
        <v>3726.62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[객관·확정] 사업보고서 영업부문 주석의 부문별 감가상각비.</t>
        </is>
      </c>
    </row>
    <row r="24">
      <c r="A24" s="5" t="inlineStr">
        <is>
          <t>패키지 감가 증가율</t>
        </is>
      </c>
      <c r="B24" s="2" t="inlineStr">
        <is>
          <t>pkg_dep_g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0.18</v>
      </c>
      <c r="J24" s="13" t="n">
        <v>0.1</v>
      </c>
      <c r="K24" s="13" t="n">
        <v>0.06</v>
      </c>
      <c r="L24" s="13" t="n">
        <v>0.03</v>
      </c>
      <c r="M24" s="13" t="n">
        <v>0.02</v>
      </c>
      <c r="N24" s="11" t="inlineStr">
        <is>
          <t>[주관·시나리오] **2026-08-28 상향** (기존 12/10/7/5/3%). 상반기 연환산 4,388억으로 2025년 3,727억 대비 **+17.7%** — 가정한 12%를 넘었다. 이익에 불리한 방향이지만 실적이 그렇게 말하므로 그대로 반영한다. 다만 분기로 보면 2026Q1 1,102억 → Q2 1,092억으로 처음 꺾였고, 그래서 2027 이후 체감 속도를 높였다.  이 모델에서 가장 민감한 가정 하나다. 2025년 말 건설중인자산 1조 2,165억원이 순차 가동되며 상각이 시작되므로 증가는 이어지되 증가율은 둔화하는 것으로 본다. 증설이 계속되면 상향해야 하고, 그 경우 pkg_vol_g(물량)도 함께 올라야 정합적이다 — 같은 증설이 매출과 비용을 동시에 만든다.</t>
        </is>
      </c>
    </row>
    <row r="25">
      <c r="A25" s="5" t="inlineStr">
        <is>
          <t>패키지 기타비용 실적</t>
        </is>
      </c>
      <c r="B25" s="2" t="inlineStr">
        <is>
          <t>pkg_other_actual</t>
        </is>
      </c>
      <c r="C25" s="2" t="inlineStr">
        <is>
          <t>억원</t>
        </is>
      </c>
      <c r="D25" s="9" t="n">
        <v>13050.26</v>
      </c>
      <c r="E25" s="9" t="n">
        <v>15070.75</v>
      </c>
      <c r="F25" s="9" t="n">
        <v>13564.23</v>
      </c>
      <c r="G25" s="9" t="n">
        <v>16097.01</v>
      </c>
      <c r="H25" s="9" t="n">
        <v>17938.65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[객관·확정] 매출 − 영업이익 − 감가상각비.</t>
        </is>
      </c>
    </row>
    <row r="26">
      <c r="A26" s="5" t="inlineStr">
        <is>
          <t>패키지 기타비용률</t>
        </is>
      </c>
      <c r="B26" s="2" t="inlineStr">
        <is>
          <t>pkg_other_ratio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0.74</v>
      </c>
      <c r="J26" s="13" t="n">
        <v>0.73</v>
      </c>
      <c r="K26" s="13" t="n">
        <v>0.722</v>
      </c>
      <c r="L26" s="13" t="n">
        <v>0.716</v>
      </c>
      <c r="M26" s="13" t="n">
        <v>0.711</v>
      </c>
      <c r="N26" s="11" t="inlineStr">
        <is>
          <t>[주관·시나리오] **2026-08-28 하향** (기존 77.5 → 74.0%). 상반기 실적 74.6%, 2026Q2 72.2%. 증설 라인의 가동률이 오르면서 고정비 배부가 개선되는 국면.  실적: 77.7% → 72.2% → 79.0% → 79.1% → 77.9%. 2022년 72.2%는 가동률이 높았던 해다. 증설 라인이 정상 가동되면 그 수준으로 회복하는 경로를 가정했다.</t>
        </is>
      </c>
    </row>
    <row r="27">
      <c r="A27" s="5" t="inlineStr">
        <is>
          <t>순차입금</t>
        </is>
      </c>
      <c r="B27" s="2" t="inlineStr">
        <is>
          <t>net_debt</t>
        </is>
      </c>
      <c r="C27" s="2" t="inlineStr">
        <is>
          <t>억원</t>
        </is>
      </c>
      <c r="D27" s="9" t="n">
        <v>-1928</v>
      </c>
      <c r="E27" s="9" t="n">
        <v>-2558</v>
      </c>
      <c r="F27" s="9" t="n">
        <v>-1477</v>
      </c>
      <c r="G27" s="9" t="n">
        <v>-4554</v>
      </c>
      <c r="H27" s="9" t="n">
        <v>-5094</v>
      </c>
      <c r="I27" s="10" t="n">
        <v>-5094</v>
      </c>
      <c r="J27" s="10" t="n">
        <v>-5094</v>
      </c>
      <c r="K27" s="10" t="n">
        <v>-5094</v>
      </c>
      <c r="L27" s="10" t="n">
        <v>-5094</v>
      </c>
      <c r="M27" s="10" t="n">
        <v>-5094</v>
      </c>
      <c r="N27" s="11" t="inlineStr">
        <is>
          <t>[객관·실적 확정 / 추정 구간은 보수적 고정] 총차입금(단기+유동성장기+장기) − 현금및현금성자산. 전 기간 음수 = 순현금이다. 실적: −1,928 → −2,558 → −1,477 → −4,554 → −5,094억원. 추정 구간은 2025년 수준으로 고정했다 — 이익 창출로 순현금이 더 쌓이는 것이 자연스러우나 배당·증설 계획이 공시되지 않아 보수적으로 두었다. 현재 시가총액의 0.5% 규모라 밸류에이션에 미치는 영향은 미미하다. 리스부채는 제외했다.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삼성전기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(D6-D46)</f>
        <v/>
      </c>
      <c r="E5" s="14">
        <f>(E6-E46)</f>
        <v/>
      </c>
      <c r="F5" s="14">
        <f>(F6-F46)</f>
        <v/>
      </c>
      <c r="G5" s="14">
        <f>(G6-G46)</f>
        <v/>
      </c>
      <c r="H5" s="14">
        <f>(H6-H46)</f>
        <v/>
      </c>
      <c r="I5" s="14">
        <f>(I6-I46)</f>
        <v/>
      </c>
      <c r="J5" s="14">
        <f>(J6-J46)</f>
        <v/>
      </c>
      <c r="K5" s="14">
        <f>(K6-K46)</f>
        <v/>
      </c>
      <c r="L5" s="14">
        <f>(L6-L46)</f>
        <v/>
      </c>
      <c r="M5" s="14">
        <f>(M6-M46)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18</v>
      </c>
      <c r="E7" s="19" t="n">
        <v>18</v>
      </c>
      <c r="F7" s="19" t="n">
        <v>18</v>
      </c>
      <c r="G7" s="19" t="n">
        <v>18</v>
      </c>
      <c r="H7" s="19" t="n">
        <v>18</v>
      </c>
      <c r="I7" s="20" t="n">
        <v>18</v>
      </c>
      <c r="J7" s="20" t="n">
        <v>18</v>
      </c>
      <c r="K7" s="20" t="n">
        <v>18</v>
      </c>
      <c r="L7" s="20" t="n">
        <v>18</v>
      </c>
      <c r="M7" s="20" t="n">
        <v>18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(D10+D9)</f>
        <v/>
      </c>
      <c r="E8" s="16">
        <f>(E10+E9)</f>
        <v/>
      </c>
      <c r="F8" s="16">
        <f>(F10+F9)</f>
        <v/>
      </c>
      <c r="G8" s="16">
        <f>(G10+G9)</f>
        <v/>
      </c>
      <c r="H8" s="16">
        <f>(H10+H9)</f>
        <v/>
      </c>
      <c r="I8" s="17">
        <f>(I10+I9)</f>
        <v/>
      </c>
      <c r="J8" s="17">
        <f>(J10+J9)</f>
        <v/>
      </c>
      <c r="K8" s="17">
        <f>(K10+K9)</f>
        <v/>
      </c>
      <c r="L8" s="17">
        <f>(L10+L9)</f>
        <v/>
      </c>
      <c r="M8" s="17">
        <f>(M10+M9)</f>
        <v/>
      </c>
    </row>
    <row r="9">
      <c r="A9" s="21" t="inlineStr">
        <is>
          <t>감가상각비 합계</t>
        </is>
      </c>
      <c r="B9" s="2" t="inlineStr">
        <is>
          <t>dep_total</t>
        </is>
      </c>
      <c r="C9" s="2" t="inlineStr">
        <is>
          <t>억원</t>
        </is>
      </c>
      <c r="D9" s="16">
        <f>((D26+D33)+D40)</f>
        <v/>
      </c>
      <c r="E9" s="16">
        <f>((E26+E33)+E40)</f>
        <v/>
      </c>
      <c r="F9" s="16">
        <f>((F26+F33)+F40)</f>
        <v/>
      </c>
      <c r="G9" s="16">
        <f>((G26+G33)+G40)</f>
        <v/>
      </c>
      <c r="H9" s="16">
        <f>((H26+H33)+H40)</f>
        <v/>
      </c>
      <c r="I9" s="17">
        <f>((I26+I33)+I40)</f>
        <v/>
      </c>
      <c r="J9" s="17">
        <f>((J26+J33)+J40)</f>
        <v/>
      </c>
      <c r="K9" s="17">
        <f>((K26+K33)+K40)</f>
        <v/>
      </c>
      <c r="L9" s="17">
        <f>((L26+L33)+L40)</f>
        <v/>
      </c>
      <c r="M9" s="17">
        <f>((M26+M33)+M40)</f>
        <v/>
      </c>
    </row>
    <row r="10">
      <c r="A10" s="21" t="inlineStr">
        <is>
          <t>영업이익</t>
        </is>
      </c>
      <c r="B10" s="2" t="inlineStr">
        <is>
          <t>op_profit</t>
        </is>
      </c>
      <c r="C10" s="2" t="inlineStr">
        <is>
          <t>억원</t>
        </is>
      </c>
      <c r="D10" s="16">
        <f>(D11-D24)</f>
        <v/>
      </c>
      <c r="E10" s="16">
        <f>(E11-E24)</f>
        <v/>
      </c>
      <c r="F10" s="16">
        <f>(F11-F24)</f>
        <v/>
      </c>
      <c r="G10" s="16">
        <f>(G11-G24)</f>
        <v/>
      </c>
      <c r="H10" s="16">
        <f>(H11-H24)</f>
        <v/>
      </c>
      <c r="I10" s="17">
        <f>(I11-I24)</f>
        <v/>
      </c>
      <c r="J10" s="17">
        <f>(J11-J24)</f>
        <v/>
      </c>
      <c r="K10" s="17">
        <f>(K11-K24)</f>
        <v/>
      </c>
      <c r="L10" s="17">
        <f>(L11-L24)</f>
        <v/>
      </c>
      <c r="M10" s="17">
        <f>(M11-M24)</f>
        <v/>
      </c>
    </row>
    <row r="11">
      <c r="A11" s="22" t="inlineStr">
        <is>
          <t>매출</t>
        </is>
      </c>
      <c r="B11" s="2" t="inlineStr">
        <is>
          <t>total_revenue</t>
        </is>
      </c>
      <c r="C11" s="2" t="inlineStr">
        <is>
          <t>억원</t>
        </is>
      </c>
      <c r="D11" s="16">
        <f>((D12+D16)+D20)</f>
        <v/>
      </c>
      <c r="E11" s="16">
        <f>((E12+E16)+E20)</f>
        <v/>
      </c>
      <c r="F11" s="16">
        <f>((F12+F16)+F20)</f>
        <v/>
      </c>
      <c r="G11" s="16">
        <f>((G12+G16)+G20)</f>
        <v/>
      </c>
      <c r="H11" s="16">
        <f>((H12+H16)+H20)</f>
        <v/>
      </c>
      <c r="I11" s="17">
        <f>((I12+I16)+I20)</f>
        <v/>
      </c>
      <c r="J11" s="17">
        <f>((J12+J16)+J20)</f>
        <v/>
      </c>
      <c r="K11" s="17">
        <f>((K12+K16)+K20)</f>
        <v/>
      </c>
      <c r="L11" s="17">
        <f>((L12+L16)+L20)</f>
        <v/>
      </c>
      <c r="M11" s="17">
        <f>((M12+M16)+M20)</f>
        <v/>
      </c>
    </row>
    <row r="12">
      <c r="A12" s="23" t="inlineStr">
        <is>
          <t>① 컴포넌트</t>
        </is>
      </c>
      <c r="B12" s="2" t="inlineStr">
        <is>
          <t>component_total</t>
        </is>
      </c>
      <c r="C12" s="2" t="inlineStr">
        <is>
          <t>억원</t>
        </is>
      </c>
      <c r="D12" s="16">
        <f>IF((D13&gt;0),D13,((0*(1+D14))*(1+D15)))</f>
        <v/>
      </c>
      <c r="E12" s="16">
        <f>IF((E13&gt;0),E13,((D12*(1+E14))*(1+E15)))</f>
        <v/>
      </c>
      <c r="F12" s="16">
        <f>IF((F13&gt;0),F13,((E12*(1+F14))*(1+F15)))</f>
        <v/>
      </c>
      <c r="G12" s="16">
        <f>IF((G13&gt;0),G13,((F12*(1+G14))*(1+G15)))</f>
        <v/>
      </c>
      <c r="H12" s="16">
        <f>IF((H13&gt;0),H13,((G12*(1+H14))*(1+H15)))</f>
        <v/>
      </c>
      <c r="I12" s="17">
        <f>IF((I13&gt;0),I13,((H12*(1+I14))*(1+I15)))</f>
        <v/>
      </c>
      <c r="J12" s="17">
        <f>IF((J13&gt;0),J13,((I12*(1+J14))*(1+J15)))</f>
        <v/>
      </c>
      <c r="K12" s="17">
        <f>IF((K13&gt;0),K13,((J12*(1+K14))*(1+K15)))</f>
        <v/>
      </c>
      <c r="L12" s="17">
        <f>IF((L13&gt;0),L13,((K12*(1+L14))*(1+L15)))</f>
        <v/>
      </c>
      <c r="M12" s="17">
        <f>IF((M13&gt;0),M13,((L12*(1+M14))*(1+M15)))</f>
        <v/>
      </c>
    </row>
    <row r="13">
      <c r="A13" s="24" t="inlineStr">
        <is>
          <t>컴포넌트 실적</t>
        </is>
      </c>
      <c r="B13" s="2" t="inlineStr">
        <is>
          <t>comp_actual</t>
        </is>
      </c>
      <c r="C13" s="2" t="inlineStr">
        <is>
          <t>억원</t>
        </is>
      </c>
      <c r="D13" s="19" t="n">
        <v>47718.3</v>
      </c>
      <c r="E13" s="19" t="n">
        <v>41322.83</v>
      </c>
      <c r="F13" s="19" t="n">
        <v>39030.22</v>
      </c>
      <c r="G13" s="19" t="n">
        <v>44620.5</v>
      </c>
      <c r="H13" s="19" t="n">
        <v>51985.01</v>
      </c>
      <c r="I13" s="20" t="n">
        <v>0</v>
      </c>
      <c r="J13" s="20" t="n">
        <v>0</v>
      </c>
      <c r="K13" s="20" t="n">
        <v>0</v>
      </c>
      <c r="L13" s="20" t="n">
        <v>0</v>
      </c>
      <c r="M13" s="20" t="n">
        <v>0</v>
      </c>
    </row>
    <row r="14">
      <c r="A14" s="24" t="inlineStr">
        <is>
          <t>컴포넌트 물량 성장률</t>
        </is>
      </c>
      <c r="B14" s="2" t="inlineStr">
        <is>
          <t>comp_vol_g</t>
        </is>
      </c>
      <c r="C14" s="2" t="inlineStr">
        <is>
          <t>%</t>
        </is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6" t="n">
        <v>0.14</v>
      </c>
      <c r="J14" s="26" t="n">
        <v>0.09</v>
      </c>
      <c r="K14" s="26" t="n">
        <v>0.07000000000000001</v>
      </c>
      <c r="L14" s="26" t="n">
        <v>0.05</v>
      </c>
      <c r="M14" s="26" t="n">
        <v>0.05</v>
      </c>
    </row>
    <row r="15">
      <c r="A15" s="24" t="inlineStr">
        <is>
          <t>컴포넌트 단가·믹스 성장률</t>
        </is>
      </c>
      <c r="B15" s="2" t="inlineStr">
        <is>
          <t>comp_price_g</t>
        </is>
      </c>
      <c r="C15" s="2" t="inlineStr">
        <is>
          <t>%</t>
        </is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6" t="n">
        <v>0.07000000000000001</v>
      </c>
      <c r="J15" s="26" t="n">
        <v>0.04</v>
      </c>
      <c r="K15" s="26" t="n">
        <v>0.03</v>
      </c>
      <c r="L15" s="26" t="n">
        <v>0.02</v>
      </c>
      <c r="M15" s="26" t="n">
        <v>0.02</v>
      </c>
    </row>
    <row r="16">
      <c r="A16" s="23" t="inlineStr">
        <is>
          <t>② 광학솔루션</t>
        </is>
      </c>
      <c r="B16" s="2" t="inlineStr">
        <is>
          <t>optics_total</t>
        </is>
      </c>
      <c r="C16" s="2" t="inlineStr">
        <is>
          <t>억원</t>
        </is>
      </c>
      <c r="D16" s="16">
        <f>IF((D17&gt;0),D17,((0*(1+D18))*(1+D19)))</f>
        <v/>
      </c>
      <c r="E16" s="16">
        <f>IF((E17&gt;0),E17,((D16*(1+E18))*(1+E19)))</f>
        <v/>
      </c>
      <c r="F16" s="16">
        <f>IF((F17&gt;0),F17,((E16*(1+F18))*(1+F19)))</f>
        <v/>
      </c>
      <c r="G16" s="16">
        <f>IF((G17&gt;0),G17,((F16*(1+G18))*(1+G19)))</f>
        <v/>
      </c>
      <c r="H16" s="16">
        <f>IF((H17&gt;0),H17,((G16*(1+H18))*(1+H19)))</f>
        <v/>
      </c>
      <c r="I16" s="17">
        <f>IF((I17&gt;0),I17,((H16*(1+I18))*(1+I19)))</f>
        <v/>
      </c>
      <c r="J16" s="17">
        <f>IF((J17&gt;0),J17,((I16*(1+J18))*(1+J19)))</f>
        <v/>
      </c>
      <c r="K16" s="17">
        <f>IF((K17&gt;0),K17,((J16*(1+K18))*(1+K19)))</f>
        <v/>
      </c>
      <c r="L16" s="17">
        <f>IF((L17&gt;0),L17,((K16*(1+L18))*(1+L19)))</f>
        <v/>
      </c>
      <c r="M16" s="17">
        <f>IF((M17&gt;0),M17,((L16*(1+M18))*(1+M19)))</f>
        <v/>
      </c>
    </row>
    <row r="17">
      <c r="A17" s="24" t="inlineStr">
        <is>
          <t>광학 실적</t>
        </is>
      </c>
      <c r="B17" s="2" t="inlineStr">
        <is>
          <t>optics_actual</t>
        </is>
      </c>
      <c r="C17" s="2" t="inlineStr">
        <is>
          <t>억원</t>
        </is>
      </c>
      <c r="D17" s="19" t="n">
        <v>32240.56</v>
      </c>
      <c r="E17" s="19" t="n">
        <v>32039.5</v>
      </c>
      <c r="F17" s="19" t="n">
        <v>32720.12</v>
      </c>
      <c r="G17" s="19" t="n">
        <v>37973.96</v>
      </c>
      <c r="H17" s="19" t="n">
        <v>38142.05</v>
      </c>
      <c r="I17" s="20" t="n">
        <v>0</v>
      </c>
      <c r="J17" s="20" t="n">
        <v>0</v>
      </c>
      <c r="K17" s="20" t="n">
        <v>0</v>
      </c>
      <c r="L17" s="20" t="n">
        <v>0</v>
      </c>
      <c r="M17" s="20" t="n">
        <v>0</v>
      </c>
    </row>
    <row r="18">
      <c r="A18" s="24" t="inlineStr">
        <is>
          <t>광학 물량 성장률</t>
        </is>
      </c>
      <c r="B18" s="2" t="inlineStr">
        <is>
          <t>optics_vol_g</t>
        </is>
      </c>
      <c r="C18" s="2" t="inlineStr">
        <is>
          <t>%</t>
        </is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6" t="n">
        <v>0.03</v>
      </c>
      <c r="J18" s="26" t="n">
        <v>0.01</v>
      </c>
      <c r="K18" s="26" t="n">
        <v>0.01</v>
      </c>
      <c r="L18" s="26" t="n">
        <v>0</v>
      </c>
      <c r="M18" s="26" t="n">
        <v>0</v>
      </c>
    </row>
    <row r="19">
      <c r="A19" s="24" t="inlineStr">
        <is>
          <t>광학 단가·믹스 성장률</t>
        </is>
      </c>
      <c r="B19" s="2" t="inlineStr">
        <is>
          <t>optics_price_g</t>
        </is>
      </c>
      <c r="C19" s="2" t="inlineStr">
        <is>
          <t>%</t>
        </is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6" t="n">
        <v>0.027</v>
      </c>
      <c r="J19" s="26" t="n">
        <v>0.02</v>
      </c>
      <c r="K19" s="26" t="n">
        <v>0.02</v>
      </c>
      <c r="L19" s="26" t="n">
        <v>0.02</v>
      </c>
      <c r="M19" s="26" t="n">
        <v>0.01</v>
      </c>
    </row>
    <row r="20">
      <c r="A20" s="23" t="inlineStr">
        <is>
          <t>③ 패키지솔루션</t>
        </is>
      </c>
      <c r="B20" s="2" t="inlineStr">
        <is>
          <t>package_total</t>
        </is>
      </c>
      <c r="C20" s="2" t="inlineStr">
        <is>
          <t>억원</t>
        </is>
      </c>
      <c r="D20" s="16">
        <f>IF((D21&gt;0),D21,((0*(1+D22))*(1+D23)))</f>
        <v/>
      </c>
      <c r="E20" s="16">
        <f>IF((E21&gt;0),E21,((D20*(1+E22))*(1+E23)))</f>
        <v/>
      </c>
      <c r="F20" s="16">
        <f>IF((F21&gt;0),F21,((E20*(1+F22))*(1+F23)))</f>
        <v/>
      </c>
      <c r="G20" s="16">
        <f>IF((G21&gt;0),G21,((F20*(1+G22))*(1+G23)))</f>
        <v/>
      </c>
      <c r="H20" s="16">
        <f>IF((H21&gt;0),H21,((G20*(1+H22))*(1+H23)))</f>
        <v/>
      </c>
      <c r="I20" s="17">
        <f>IF((I21&gt;0),I21,((H20*(1+I22))*(1+I23)))</f>
        <v/>
      </c>
      <c r="J20" s="17">
        <f>IF((J21&gt;0),J21,((I20*(1+J22))*(1+J23)))</f>
        <v/>
      </c>
      <c r="K20" s="17">
        <f>IF((K21&gt;0),K21,((J20*(1+K22))*(1+K23)))</f>
        <v/>
      </c>
      <c r="L20" s="17">
        <f>IF((L21&gt;0),L21,((K20*(1+L22))*(1+L23)))</f>
        <v/>
      </c>
      <c r="M20" s="17">
        <f>IF((M21&gt;0),M21,((L20*(1+M22))*(1+M23)))</f>
        <v/>
      </c>
    </row>
    <row r="21">
      <c r="A21" s="24" t="inlineStr">
        <is>
          <t>패키지 실적</t>
        </is>
      </c>
      <c r="B21" s="2" t="inlineStr">
        <is>
          <t>pkg_actual</t>
        </is>
      </c>
      <c r="C21" s="2" t="inlineStr">
        <is>
          <t>억원</t>
        </is>
      </c>
      <c r="D21" s="19" t="n">
        <v>16791.5</v>
      </c>
      <c r="E21" s="19" t="n">
        <v>20883.19</v>
      </c>
      <c r="F21" s="19" t="n">
        <v>17173.78</v>
      </c>
      <c r="G21" s="19" t="n">
        <v>20346.57</v>
      </c>
      <c r="H21" s="19" t="n">
        <v>23017.53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4" t="inlineStr">
        <is>
          <t>패키지 물량 성장률</t>
        </is>
      </c>
      <c r="B22" s="2" t="inlineStr">
        <is>
          <t>pkg_vol_g</t>
        </is>
      </c>
      <c r="C22" s="2" t="inlineStr">
        <is>
          <t>%</t>
        </is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6" t="n">
        <v>0.26</v>
      </c>
      <c r="J22" s="26" t="n">
        <v>0.16</v>
      </c>
      <c r="K22" s="26" t="n">
        <v>0.12</v>
      </c>
      <c r="L22" s="26" t="n">
        <v>0.09</v>
      </c>
      <c r="M22" s="26" t="n">
        <v>0.07000000000000001</v>
      </c>
    </row>
    <row r="23">
      <c r="A23" s="24" t="inlineStr">
        <is>
          <t>패키지 단가·믹스 성장률</t>
        </is>
      </c>
      <c r="B23" s="2" t="inlineStr">
        <is>
          <t>pkg_price_g</t>
        </is>
      </c>
      <c r="C23" s="2" t="inlineStr">
        <is>
          <t>%</t>
        </is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6" t="n">
        <v>0.12</v>
      </c>
      <c r="J23" s="26" t="n">
        <v>0.05</v>
      </c>
      <c r="K23" s="26" t="n">
        <v>0.03</v>
      </c>
      <c r="L23" s="26" t="n">
        <v>0.02</v>
      </c>
      <c r="M23" s="26" t="n">
        <v>0.02</v>
      </c>
    </row>
    <row r="24">
      <c r="A24" s="22" t="inlineStr">
        <is>
          <t>비용</t>
        </is>
      </c>
      <c r="B24" s="2" t="inlineStr">
        <is>
          <t>total_cost</t>
        </is>
      </c>
      <c r="C24" s="2" t="inlineStr">
        <is>
          <t>억원</t>
        </is>
      </c>
      <c r="D24" s="16">
        <f>((D25+D32)+D39)</f>
        <v/>
      </c>
      <c r="E24" s="16">
        <f>((E25+E32)+E39)</f>
        <v/>
      </c>
      <c r="F24" s="16">
        <f>((F25+F32)+F39)</f>
        <v/>
      </c>
      <c r="G24" s="16">
        <f>((G25+G32)+G39)</f>
        <v/>
      </c>
      <c r="H24" s="16">
        <f>((H25+H32)+H39)</f>
        <v/>
      </c>
      <c r="I24" s="17">
        <f>((I25+I32)+I39)</f>
        <v/>
      </c>
      <c r="J24" s="17">
        <f>((J25+J32)+J39)</f>
        <v/>
      </c>
      <c r="K24" s="17">
        <f>((K25+K32)+K39)</f>
        <v/>
      </c>
      <c r="L24" s="17">
        <f>((L25+L32)+L39)</f>
        <v/>
      </c>
      <c r="M24" s="17">
        <f>((M25+M32)+M39)</f>
        <v/>
      </c>
    </row>
    <row r="25">
      <c r="A25" s="23" t="inlineStr">
        <is>
          <t>① 컴포넌트 비용</t>
        </is>
      </c>
      <c r="B25" s="2" t="inlineStr">
        <is>
          <t>comp_cost</t>
        </is>
      </c>
      <c r="C25" s="2" t="inlineStr">
        <is>
          <t>억원</t>
        </is>
      </c>
      <c r="D25" s="16">
        <f>(D26+D29)</f>
        <v/>
      </c>
      <c r="E25" s="16">
        <f>(E26+E29)</f>
        <v/>
      </c>
      <c r="F25" s="16">
        <f>(F26+F29)</f>
        <v/>
      </c>
      <c r="G25" s="16">
        <f>(G26+G29)</f>
        <v/>
      </c>
      <c r="H25" s="16">
        <f>(H26+H29)</f>
        <v/>
      </c>
      <c r="I25" s="17">
        <f>(I26+I29)</f>
        <v/>
      </c>
      <c r="J25" s="17">
        <f>(J26+J29)</f>
        <v/>
      </c>
      <c r="K25" s="17">
        <f>(K26+K29)</f>
        <v/>
      </c>
      <c r="L25" s="17">
        <f>(L26+L29)</f>
        <v/>
      </c>
      <c r="M25" s="17">
        <f>(M26+M29)</f>
        <v/>
      </c>
    </row>
    <row r="26">
      <c r="A26" s="24" t="inlineStr">
        <is>
          <t>컴포넌트 감가상각비</t>
        </is>
      </c>
      <c r="B26" s="2" t="inlineStr">
        <is>
          <t>comp_dep</t>
        </is>
      </c>
      <c r="C26" s="2" t="inlineStr">
        <is>
          <t>억원</t>
        </is>
      </c>
      <c r="D26" s="16">
        <f>IF((D27&gt;0),D27,(0*(1+D28)))</f>
        <v/>
      </c>
      <c r="E26" s="16">
        <f>IF((E27&gt;0),E27,(D26*(1+E28)))</f>
        <v/>
      </c>
      <c r="F26" s="16">
        <f>IF((F27&gt;0),F27,(E26*(1+F28)))</f>
        <v/>
      </c>
      <c r="G26" s="16">
        <f>IF((G27&gt;0),G27,(F26*(1+G28)))</f>
        <v/>
      </c>
      <c r="H26" s="16">
        <f>IF((H27&gt;0),H27,(G26*(1+H28)))</f>
        <v/>
      </c>
      <c r="I26" s="17">
        <f>IF((I27&gt;0),I27,(H26*(1+I28)))</f>
        <v/>
      </c>
      <c r="J26" s="17">
        <f>IF((J27&gt;0),J27,(I26*(1+J28)))</f>
        <v/>
      </c>
      <c r="K26" s="17">
        <f>IF((K27&gt;0),K27,(J26*(1+K28)))</f>
        <v/>
      </c>
      <c r="L26" s="17">
        <f>IF((L27&gt;0),L27,(K26*(1+L28)))</f>
        <v/>
      </c>
      <c r="M26" s="17">
        <f>IF((M27&gt;0),M27,(L26*(1+M28)))</f>
        <v/>
      </c>
    </row>
    <row r="27">
      <c r="A27" s="27" t="inlineStr">
        <is>
          <t>컴포넌트 감가 실적</t>
        </is>
      </c>
      <c r="B27" s="2" t="inlineStr">
        <is>
          <t>comp_dep_actual</t>
        </is>
      </c>
      <c r="C27" s="2" t="inlineStr">
        <is>
          <t>억원</t>
        </is>
      </c>
      <c r="D27" s="19" t="n">
        <v>5416.62</v>
      </c>
      <c r="E27" s="19" t="n">
        <v>5699</v>
      </c>
      <c r="F27" s="19" t="n">
        <v>4921.87</v>
      </c>
      <c r="G27" s="19" t="n">
        <v>4242.86</v>
      </c>
      <c r="H27" s="19" t="n">
        <v>4392.41</v>
      </c>
      <c r="I27" s="20" t="n">
        <v>0</v>
      </c>
      <c r="J27" s="20" t="n">
        <v>0</v>
      </c>
      <c r="K27" s="20" t="n">
        <v>0</v>
      </c>
      <c r="L27" s="20" t="n">
        <v>0</v>
      </c>
      <c r="M27" s="20" t="n">
        <v>0</v>
      </c>
    </row>
    <row r="28">
      <c r="A28" s="27" t="inlineStr">
        <is>
          <t>컴포넌트 감가 증가율</t>
        </is>
      </c>
      <c r="B28" s="2" t="inlineStr">
        <is>
          <t>comp_dep_g</t>
        </is>
      </c>
      <c r="C28" s="2" t="inlineStr">
        <is>
          <t>%</t>
        </is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6" t="n">
        <v>-0.03</v>
      </c>
      <c r="J28" s="26" t="n">
        <v>0.02</v>
      </c>
      <c r="K28" s="26" t="n">
        <v>0.02</v>
      </c>
      <c r="L28" s="26" t="n">
        <v>0.01</v>
      </c>
      <c r="M28" s="26" t="n">
        <v>0.01</v>
      </c>
    </row>
    <row r="29">
      <c r="A29" s="24" t="inlineStr">
        <is>
          <t>컴포넌트 기타비용</t>
        </is>
      </c>
      <c r="B29" s="2" t="inlineStr">
        <is>
          <t>comp_other</t>
        </is>
      </c>
      <c r="C29" s="2" t="inlineStr">
        <is>
          <t>억원</t>
        </is>
      </c>
      <c r="D29" s="16">
        <f>IF((D30&gt;0),D30,(D12*D31))</f>
        <v/>
      </c>
      <c r="E29" s="16">
        <f>IF((E30&gt;0),E30,(E12*E31))</f>
        <v/>
      </c>
      <c r="F29" s="16">
        <f>IF((F30&gt;0),F30,(F12*F31))</f>
        <v/>
      </c>
      <c r="G29" s="16">
        <f>IF((G30&gt;0),G30,(G12*G31))</f>
        <v/>
      </c>
      <c r="H29" s="16">
        <f>IF((H30&gt;0),H30,(H12*H31))</f>
        <v/>
      </c>
      <c r="I29" s="17">
        <f>IF((I30&gt;0),I30,(I12*I31))</f>
        <v/>
      </c>
      <c r="J29" s="17">
        <f>IF((J30&gt;0),J30,(J12*J31))</f>
        <v/>
      </c>
      <c r="K29" s="17">
        <f>IF((K30&gt;0),K30,(K12*K31))</f>
        <v/>
      </c>
      <c r="L29" s="17">
        <f>IF((L30&gt;0),L30,(L12*L31))</f>
        <v/>
      </c>
      <c r="M29" s="17">
        <f>IF((M30&gt;0),M30,(M12*M31))</f>
        <v/>
      </c>
    </row>
    <row r="30">
      <c r="A30" s="27" t="inlineStr">
        <is>
          <t>컴포넌트 기타비용 실적</t>
        </is>
      </c>
      <c r="B30" s="2" t="inlineStr">
        <is>
          <t>comp_other_actual</t>
        </is>
      </c>
      <c r="C30" s="2" t="inlineStr">
        <is>
          <t>억원</t>
        </is>
      </c>
      <c r="D30" s="19" t="n">
        <v>31666.28</v>
      </c>
      <c r="E30" s="19" t="n">
        <v>29546.44</v>
      </c>
      <c r="F30" s="19" t="n">
        <v>30492.41</v>
      </c>
      <c r="G30" s="19" t="n">
        <v>35980.2</v>
      </c>
      <c r="H30" s="19" t="n">
        <v>41499.01</v>
      </c>
      <c r="I30" s="20" t="n">
        <v>0</v>
      </c>
      <c r="J30" s="20" t="n">
        <v>0</v>
      </c>
      <c r="K30" s="20" t="n">
        <v>0</v>
      </c>
      <c r="L30" s="20" t="n">
        <v>0</v>
      </c>
      <c r="M30" s="20" t="n">
        <v>0</v>
      </c>
    </row>
    <row r="31">
      <c r="A31" s="27" t="inlineStr">
        <is>
          <t>컴포넌트 기타비용률</t>
        </is>
      </c>
      <c r="B31" s="2" t="inlineStr">
        <is>
          <t>comp_other_ratio</t>
        </is>
      </c>
      <c r="C31" s="2" t="inlineStr">
        <is>
          <t>%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6" t="n">
        <v>0.78</v>
      </c>
      <c r="J31" s="26" t="n">
        <v>0.771</v>
      </c>
      <c r="K31" s="26" t="n">
        <v>0.764</v>
      </c>
      <c r="L31" s="26" t="n">
        <v>0.758</v>
      </c>
      <c r="M31" s="26" t="n">
        <v>0.753</v>
      </c>
    </row>
    <row r="32">
      <c r="A32" s="23" t="inlineStr">
        <is>
          <t>② 광학 비용</t>
        </is>
      </c>
      <c r="B32" s="2" t="inlineStr">
        <is>
          <t>optics_cost</t>
        </is>
      </c>
      <c r="C32" s="2" t="inlineStr">
        <is>
          <t>억원</t>
        </is>
      </c>
      <c r="D32" s="16">
        <f>(D33+D36)</f>
        <v/>
      </c>
      <c r="E32" s="16">
        <f>(E33+E36)</f>
        <v/>
      </c>
      <c r="F32" s="16">
        <f>(F33+F36)</f>
        <v/>
      </c>
      <c r="G32" s="16">
        <f>(G33+G36)</f>
        <v/>
      </c>
      <c r="H32" s="16">
        <f>(H33+H36)</f>
        <v/>
      </c>
      <c r="I32" s="17">
        <f>(I33+I36)</f>
        <v/>
      </c>
      <c r="J32" s="17">
        <f>(J33+J36)</f>
        <v/>
      </c>
      <c r="K32" s="17">
        <f>(K33+K36)</f>
        <v/>
      </c>
      <c r="L32" s="17">
        <f>(L33+L36)</f>
        <v/>
      </c>
      <c r="M32" s="17">
        <f>(M33+M36)</f>
        <v/>
      </c>
    </row>
    <row r="33">
      <c r="A33" s="24" t="inlineStr">
        <is>
          <t>광학 감가상각비</t>
        </is>
      </c>
      <c r="B33" s="2" t="inlineStr">
        <is>
          <t>optics_dep</t>
        </is>
      </c>
      <c r="C33" s="2" t="inlineStr">
        <is>
          <t>억원</t>
        </is>
      </c>
      <c r="D33" s="16">
        <f>IF((D34&gt;0),D34,(0*(1+D35)))</f>
        <v/>
      </c>
      <c r="E33" s="16">
        <f>IF((E34&gt;0),E34,(D33*(1+E35)))</f>
        <v/>
      </c>
      <c r="F33" s="16">
        <f>IF((F34&gt;0),F34,(E33*(1+F35)))</f>
        <v/>
      </c>
      <c r="G33" s="16">
        <f>IF((G34&gt;0),G34,(F33*(1+G35)))</f>
        <v/>
      </c>
      <c r="H33" s="16">
        <f>IF((H34&gt;0),H34,(G33*(1+H35)))</f>
        <v/>
      </c>
      <c r="I33" s="17">
        <f>IF((I34&gt;0),I34,(H33*(1+I35)))</f>
        <v/>
      </c>
      <c r="J33" s="17">
        <f>IF((J34&gt;0),J34,(I33*(1+J35)))</f>
        <v/>
      </c>
      <c r="K33" s="17">
        <f>IF((K34&gt;0),K34,(J33*(1+K35)))</f>
        <v/>
      </c>
      <c r="L33" s="17">
        <f>IF((L34&gt;0),L34,(K33*(1+L35)))</f>
        <v/>
      </c>
      <c r="M33" s="17">
        <f>IF((M34&gt;0),M34,(L33*(1+M35)))</f>
        <v/>
      </c>
    </row>
    <row r="34">
      <c r="A34" s="27" t="inlineStr">
        <is>
          <t>광학 감가 실적</t>
        </is>
      </c>
      <c r="B34" s="2" t="inlineStr">
        <is>
          <t>optics_dep_actual</t>
        </is>
      </c>
      <c r="C34" s="2" t="inlineStr">
        <is>
          <t>억원</t>
        </is>
      </c>
      <c r="D34" s="19" t="n">
        <v>957.36</v>
      </c>
      <c r="E34" s="19" t="n">
        <v>1209.65</v>
      </c>
      <c r="F34" s="19" t="n">
        <v>888.4400000000001</v>
      </c>
      <c r="G34" s="19" t="n">
        <v>722.89</v>
      </c>
      <c r="H34" s="19" t="n">
        <v>513.11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7" t="inlineStr">
        <is>
          <t>광학 감가 증가율</t>
        </is>
      </c>
      <c r="B35" s="2" t="inlineStr">
        <is>
          <t>optics_dep_g</t>
        </is>
      </c>
      <c r="C35" s="2" t="inlineStr">
        <is>
          <t>%</t>
        </is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6" t="n">
        <v>0.08</v>
      </c>
      <c r="J35" s="26" t="n">
        <v>-0.02</v>
      </c>
      <c r="K35" s="26" t="n">
        <v>0</v>
      </c>
      <c r="L35" s="26" t="n">
        <v>0</v>
      </c>
      <c r="M35" s="26" t="n">
        <v>0</v>
      </c>
    </row>
    <row r="36">
      <c r="A36" s="24" t="inlineStr">
        <is>
          <t>광학 기타비용</t>
        </is>
      </c>
      <c r="B36" s="2" t="inlineStr">
        <is>
          <t>optics_other</t>
        </is>
      </c>
      <c r="C36" s="2" t="inlineStr">
        <is>
          <t>억원</t>
        </is>
      </c>
      <c r="D36" s="16">
        <f>IF((D37&gt;0),D37,(D16*D38))</f>
        <v/>
      </c>
      <c r="E36" s="16">
        <f>IF((E37&gt;0),E37,(E16*E38))</f>
        <v/>
      </c>
      <c r="F36" s="16">
        <f>IF((F37&gt;0),F37,(F16*F38))</f>
        <v/>
      </c>
      <c r="G36" s="16">
        <f>IF((G37&gt;0),G37,(G16*G38))</f>
        <v/>
      </c>
      <c r="H36" s="16">
        <f>IF((H37&gt;0),H37,(H16*H38))</f>
        <v/>
      </c>
      <c r="I36" s="17">
        <f>IF((I37&gt;0),I37,(I16*I38))</f>
        <v/>
      </c>
      <c r="J36" s="17">
        <f>IF((J37&gt;0),J37,(J16*J38))</f>
        <v/>
      </c>
      <c r="K36" s="17">
        <f>IF((K37&gt;0),K37,(K16*K38))</f>
        <v/>
      </c>
      <c r="L36" s="17">
        <f>IF((L37&gt;0),L37,(L16*L38))</f>
        <v/>
      </c>
      <c r="M36" s="17">
        <f>IF((M37&gt;0),M37,(M16*M38))</f>
        <v/>
      </c>
    </row>
    <row r="37">
      <c r="A37" s="27" t="inlineStr">
        <is>
          <t>광학 기타비용 실적</t>
        </is>
      </c>
      <c r="B37" s="2" t="inlineStr">
        <is>
          <t>optics_other_actual</t>
        </is>
      </c>
      <c r="C37" s="2" t="inlineStr">
        <is>
          <t>억원</t>
        </is>
      </c>
      <c r="D37" s="19" t="n">
        <v>29671.91</v>
      </c>
      <c r="E37" s="19" t="n">
        <v>29725.37</v>
      </c>
      <c r="F37" s="19" t="n">
        <v>30608.17</v>
      </c>
      <c r="G37" s="19" t="n">
        <v>35874.87</v>
      </c>
      <c r="H37" s="19" t="n">
        <v>35941.48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7" t="inlineStr">
        <is>
          <t>광학 기타비용률</t>
        </is>
      </c>
      <c r="B38" s="2" t="inlineStr">
        <is>
          <t>optics_other_ratio</t>
        </is>
      </c>
      <c r="C38" s="2" t="inlineStr">
        <is>
          <t>%</t>
        </is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6" t="n">
        <v>0.93</v>
      </c>
      <c r="J38" s="26" t="n">
        <v>0.931</v>
      </c>
      <c r="K38" s="26" t="n">
        <v>0.9320000000000001</v>
      </c>
      <c r="L38" s="26" t="n">
        <v>0.9330000000000001</v>
      </c>
      <c r="M38" s="26" t="n">
        <v>0.9330000000000001</v>
      </c>
    </row>
    <row r="39">
      <c r="A39" s="23" t="inlineStr">
        <is>
          <t>③ 패키지 비용</t>
        </is>
      </c>
      <c r="B39" s="2" t="inlineStr">
        <is>
          <t>pkg_cost</t>
        </is>
      </c>
      <c r="C39" s="2" t="inlineStr">
        <is>
          <t>억원</t>
        </is>
      </c>
      <c r="D39" s="16">
        <f>(D40+D43)</f>
        <v/>
      </c>
      <c r="E39" s="16">
        <f>(E40+E43)</f>
        <v/>
      </c>
      <c r="F39" s="16">
        <f>(F40+F43)</f>
        <v/>
      </c>
      <c r="G39" s="16">
        <f>(G40+G43)</f>
        <v/>
      </c>
      <c r="H39" s="16">
        <f>(H40+H43)</f>
        <v/>
      </c>
      <c r="I39" s="17">
        <f>(I40+I43)</f>
        <v/>
      </c>
      <c r="J39" s="17">
        <f>(J40+J43)</f>
        <v/>
      </c>
      <c r="K39" s="17">
        <f>(K40+K43)</f>
        <v/>
      </c>
      <c r="L39" s="17">
        <f>(L40+L43)</f>
        <v/>
      </c>
      <c r="M39" s="17">
        <f>(M40+M43)</f>
        <v/>
      </c>
    </row>
    <row r="40">
      <c r="A40" s="24" t="inlineStr">
        <is>
          <t>패키지 감가상각비</t>
        </is>
      </c>
      <c r="B40" s="2" t="inlineStr">
        <is>
          <t>pkg_dep</t>
        </is>
      </c>
      <c r="C40" s="2" t="inlineStr">
        <is>
          <t>억원</t>
        </is>
      </c>
      <c r="D40" s="16">
        <f>IF((D41&gt;0),D41,(0*(1+D42)))</f>
        <v/>
      </c>
      <c r="E40" s="16">
        <f>IF((E41&gt;0),E41,(D40*(1+E42)))</f>
        <v/>
      </c>
      <c r="F40" s="16">
        <f>IF((F41&gt;0),F41,(E40*(1+F42)))</f>
        <v/>
      </c>
      <c r="G40" s="16">
        <f>IF((G41&gt;0),G41,(F40*(1+G42)))</f>
        <v/>
      </c>
      <c r="H40" s="16">
        <f>IF((H41&gt;0),H41,(G40*(1+H42)))</f>
        <v/>
      </c>
      <c r="I40" s="17">
        <f>IF((I41&gt;0),I41,(H40*(1+I42)))</f>
        <v/>
      </c>
      <c r="J40" s="17">
        <f>IF((J41&gt;0),J41,(I40*(1+J42)))</f>
        <v/>
      </c>
      <c r="K40" s="17">
        <f>IF((K41&gt;0),K41,(J40*(1+K42)))</f>
        <v/>
      </c>
      <c r="L40" s="17">
        <f>IF((L41&gt;0),L41,(K40*(1+L42)))</f>
        <v/>
      </c>
      <c r="M40" s="17">
        <f>IF((M41&gt;0),M41,(L40*(1+M42)))</f>
        <v/>
      </c>
    </row>
    <row r="41">
      <c r="A41" s="27" t="inlineStr">
        <is>
          <t>패키지 감가 실적</t>
        </is>
      </c>
      <c r="B41" s="2" t="inlineStr">
        <is>
          <t>pkg_dep_actual</t>
        </is>
      </c>
      <c r="C41" s="2" t="inlineStr">
        <is>
          <t>억원</t>
        </is>
      </c>
      <c r="D41" s="19" t="n">
        <v>1119.2</v>
      </c>
      <c r="E41" s="19" t="n">
        <v>1165.95</v>
      </c>
      <c r="F41" s="19" t="n">
        <v>1843.56</v>
      </c>
      <c r="G41" s="19" t="n">
        <v>2673.14</v>
      </c>
      <c r="H41" s="19" t="n">
        <v>3726.62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7" t="inlineStr">
        <is>
          <t>패키지 감가 증가율</t>
        </is>
      </c>
      <c r="B42" s="2" t="inlineStr">
        <is>
          <t>pkg_dep_g</t>
        </is>
      </c>
      <c r="C42" s="2" t="inlineStr">
        <is>
          <t>%</t>
        </is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6" t="n">
        <v>0.18</v>
      </c>
      <c r="J42" s="26" t="n">
        <v>0.1</v>
      </c>
      <c r="K42" s="26" t="n">
        <v>0.06</v>
      </c>
      <c r="L42" s="26" t="n">
        <v>0.03</v>
      </c>
      <c r="M42" s="26" t="n">
        <v>0.02</v>
      </c>
    </row>
    <row r="43">
      <c r="A43" s="24" t="inlineStr">
        <is>
          <t>패키지 기타비용</t>
        </is>
      </c>
      <c r="B43" s="2" t="inlineStr">
        <is>
          <t>pkg_other</t>
        </is>
      </c>
      <c r="C43" s="2" t="inlineStr">
        <is>
          <t>억원</t>
        </is>
      </c>
      <c r="D43" s="16">
        <f>IF((D44&gt;0),D44,(D20*D45))</f>
        <v/>
      </c>
      <c r="E43" s="16">
        <f>IF((E44&gt;0),E44,(E20*E45))</f>
        <v/>
      </c>
      <c r="F43" s="16">
        <f>IF((F44&gt;0),F44,(F20*F45))</f>
        <v/>
      </c>
      <c r="G43" s="16">
        <f>IF((G44&gt;0),G44,(G20*G45))</f>
        <v/>
      </c>
      <c r="H43" s="16">
        <f>IF((H44&gt;0),H44,(H20*H45))</f>
        <v/>
      </c>
      <c r="I43" s="17">
        <f>IF((I44&gt;0),I44,(I20*I45))</f>
        <v/>
      </c>
      <c r="J43" s="17">
        <f>IF((J44&gt;0),J44,(J20*J45))</f>
        <v/>
      </c>
      <c r="K43" s="17">
        <f>IF((K44&gt;0),K44,(K20*K45))</f>
        <v/>
      </c>
      <c r="L43" s="17">
        <f>IF((L44&gt;0),L44,(L20*L45))</f>
        <v/>
      </c>
      <c r="M43" s="17">
        <f>IF((M44&gt;0),M44,(M20*M45))</f>
        <v/>
      </c>
    </row>
    <row r="44">
      <c r="A44" s="27" t="inlineStr">
        <is>
          <t>패키지 기타비용 실적</t>
        </is>
      </c>
      <c r="B44" s="2" t="inlineStr">
        <is>
          <t>pkg_other_actual</t>
        </is>
      </c>
      <c r="C44" s="2" t="inlineStr">
        <is>
          <t>억원</t>
        </is>
      </c>
      <c r="D44" s="19" t="n">
        <v>13050.26</v>
      </c>
      <c r="E44" s="19" t="n">
        <v>15070.75</v>
      </c>
      <c r="F44" s="19" t="n">
        <v>13564.23</v>
      </c>
      <c r="G44" s="19" t="n">
        <v>16097.01</v>
      </c>
      <c r="H44" s="19" t="n">
        <v>17938.65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7" t="inlineStr">
        <is>
          <t>패키지 기타비용률</t>
        </is>
      </c>
      <c r="B45" s="2" t="inlineStr">
        <is>
          <t>pkg_other_ratio</t>
        </is>
      </c>
      <c r="C45" s="2" t="inlineStr">
        <is>
          <t>%</t>
        </is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6" t="n">
        <v>0.74</v>
      </c>
      <c r="J45" s="26" t="n">
        <v>0.73</v>
      </c>
      <c r="K45" s="26" t="n">
        <v>0.722</v>
      </c>
      <c r="L45" s="26" t="n">
        <v>0.716</v>
      </c>
      <c r="M45" s="26" t="n">
        <v>0.711</v>
      </c>
    </row>
    <row r="46">
      <c r="A46" s="15" t="inlineStr">
        <is>
          <t>순차입금</t>
        </is>
      </c>
      <c r="B46" s="2" t="inlineStr">
        <is>
          <t>net_debt</t>
        </is>
      </c>
      <c r="C46" s="2" t="inlineStr">
        <is>
          <t>억원</t>
        </is>
      </c>
      <c r="D46" s="19" t="n">
        <v>-1928</v>
      </c>
      <c r="E46" s="19" t="n">
        <v>-2558</v>
      </c>
      <c r="F46" s="19" t="n">
        <v>-1477</v>
      </c>
      <c r="G46" s="19" t="n">
        <v>-4554</v>
      </c>
      <c r="H46" s="19" t="n">
        <v>-5094</v>
      </c>
      <c r="I46" s="20" t="n">
        <v>-5094</v>
      </c>
      <c r="J46" s="20" t="n">
        <v>-5094</v>
      </c>
      <c r="K46" s="20" t="n">
        <v>-5094</v>
      </c>
      <c r="L46" s="20" t="n">
        <v>-5094</v>
      </c>
      <c r="M46" s="20" t="n">
        <v>-5094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'=(I6-I46)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dep_total</t>
        </is>
      </c>
      <c r="E7" s="11" t="inlineStr">
        <is>
          <t>'=(I10+I9)</t>
        </is>
      </c>
    </row>
    <row r="8">
      <c r="A8" s="2" t="inlineStr">
        <is>
          <t>dep_total</t>
        </is>
      </c>
      <c r="B8" s="5" t="inlineStr">
        <is>
          <t>감가상각비 합계</t>
        </is>
      </c>
      <c r="C8" s="2" t="n">
        <v>9</v>
      </c>
      <c r="D8" s="28" t="inlineStr">
        <is>
          <t>comp_dep + optics_dep + pkg_dep</t>
        </is>
      </c>
      <c r="E8" s="11" t="inlineStr">
        <is>
          <t>'=((I26+I33)+I40)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10</v>
      </c>
      <c r="D9" s="28" t="inlineStr">
        <is>
          <t>total_revenue - total_cost</t>
        </is>
      </c>
      <c r="E9" s="11" t="inlineStr">
        <is>
          <t>'=(I11-I24)</t>
        </is>
      </c>
    </row>
    <row r="10">
      <c r="A10" s="2" t="inlineStr">
        <is>
          <t>total_revenue</t>
        </is>
      </c>
      <c r="B10" s="5" t="inlineStr">
        <is>
          <t>매출</t>
        </is>
      </c>
      <c r="C10" s="2" t="n">
        <v>11</v>
      </c>
      <c r="D10" s="28" t="inlineStr">
        <is>
          <t>component_total + optics_total + package_total</t>
        </is>
      </c>
      <c r="E10" s="11" t="inlineStr">
        <is>
          <t>'=((I12+I16)+I20)</t>
        </is>
      </c>
    </row>
    <row r="11">
      <c r="A11" s="2" t="inlineStr">
        <is>
          <t>component_total</t>
        </is>
      </c>
      <c r="B11" s="5" t="inlineStr">
        <is>
          <t>① 컴포넌트</t>
        </is>
      </c>
      <c r="C11" s="2" t="n">
        <v>12</v>
      </c>
      <c r="D11" s="28" t="inlineStr">
        <is>
          <t>IF(comp_actual &gt; 0, comp_actual, PREV(component_total) * (1 + comp_vol_g) * (1 + comp_price_g))</t>
        </is>
      </c>
      <c r="E11" s="11" t="inlineStr">
        <is>
          <t>'=IF((I13&gt;0),I13,((H12*(1+I14))*(1+I15)))</t>
        </is>
      </c>
    </row>
    <row r="12">
      <c r="A12" s="2" t="inlineStr">
        <is>
          <t>optics_total</t>
        </is>
      </c>
      <c r="B12" s="5" t="inlineStr">
        <is>
          <t>② 광학솔루션</t>
        </is>
      </c>
      <c r="C12" s="2" t="n">
        <v>16</v>
      </c>
      <c r="D12" s="28" t="inlineStr">
        <is>
          <t>IF(optics_actual &gt; 0, optics_actual, PREV(optics_total) * (1 + optics_vol_g) * (1 + optics_price_g))</t>
        </is>
      </c>
      <c r="E12" s="11" t="inlineStr">
        <is>
          <t>'=IF((I17&gt;0),I17,((H16*(1+I18))*(1+I19)))</t>
        </is>
      </c>
    </row>
    <row r="13">
      <c r="A13" s="2" t="inlineStr">
        <is>
          <t>package_total</t>
        </is>
      </c>
      <c r="B13" s="5" t="inlineStr">
        <is>
          <t>③ 패키지솔루션</t>
        </is>
      </c>
      <c r="C13" s="2" t="n">
        <v>20</v>
      </c>
      <c r="D13" s="28" t="inlineStr">
        <is>
          <t>IF(pkg_actual &gt; 0, pkg_actual, PREV(package_total) * (1 + pkg_vol_g) * (1 + pkg_price_g))</t>
        </is>
      </c>
      <c r="E13" s="11" t="inlineStr">
        <is>
          <t>'=IF((I21&gt;0),I21,((H20*(1+I22))*(1+I23)))</t>
        </is>
      </c>
    </row>
    <row r="14">
      <c r="A14" s="2" t="inlineStr">
        <is>
          <t>total_cost</t>
        </is>
      </c>
      <c r="B14" s="5" t="inlineStr">
        <is>
          <t>비용</t>
        </is>
      </c>
      <c r="C14" s="2" t="n">
        <v>24</v>
      </c>
      <c r="D14" s="28" t="inlineStr">
        <is>
          <t>comp_cost + optics_cost + pkg_cost</t>
        </is>
      </c>
      <c r="E14" s="11" t="inlineStr">
        <is>
          <t>'=((I25+I32)+I39)</t>
        </is>
      </c>
    </row>
    <row r="15">
      <c r="A15" s="2" t="inlineStr">
        <is>
          <t>comp_cost</t>
        </is>
      </c>
      <c r="B15" s="5" t="inlineStr">
        <is>
          <t>① 컴포넌트 비용</t>
        </is>
      </c>
      <c r="C15" s="2" t="n">
        <v>25</v>
      </c>
      <c r="D15" s="28" t="inlineStr">
        <is>
          <t>comp_dep + comp_other</t>
        </is>
      </c>
      <c r="E15" s="11" t="inlineStr">
        <is>
          <t>'=(I26+I29)</t>
        </is>
      </c>
    </row>
    <row r="16">
      <c r="A16" s="2" t="inlineStr">
        <is>
          <t>comp_dep</t>
        </is>
      </c>
      <c r="B16" s="5" t="inlineStr">
        <is>
          <t>컴포넌트 감가상각비</t>
        </is>
      </c>
      <c r="C16" s="2" t="n">
        <v>26</v>
      </c>
      <c r="D16" s="28" t="inlineStr">
        <is>
          <t>IF(comp_dep_actual &gt; 0, comp_dep_actual, PREV(comp_dep) * (1 + comp_dep_g))</t>
        </is>
      </c>
      <c r="E16" s="11" t="inlineStr">
        <is>
          <t>'=IF((I27&gt;0),I27,(H26*(1+I28)))</t>
        </is>
      </c>
    </row>
    <row r="17">
      <c r="A17" s="2" t="inlineStr">
        <is>
          <t>comp_other</t>
        </is>
      </c>
      <c r="B17" s="5" t="inlineStr">
        <is>
          <t>컴포넌트 기타비용</t>
        </is>
      </c>
      <c r="C17" s="2" t="n">
        <v>29</v>
      </c>
      <c r="D17" s="28" t="inlineStr">
        <is>
          <t>IF(comp_other_actual &gt; 0, comp_other_actual, component_total * comp_other_ratio)</t>
        </is>
      </c>
      <c r="E17" s="11" t="inlineStr">
        <is>
          <t>'=IF((I30&gt;0),I30,(I12*I31))</t>
        </is>
      </c>
    </row>
    <row r="18">
      <c r="A18" s="2" t="inlineStr">
        <is>
          <t>optics_cost</t>
        </is>
      </c>
      <c r="B18" s="5" t="inlineStr">
        <is>
          <t>② 광학 비용</t>
        </is>
      </c>
      <c r="C18" s="2" t="n">
        <v>32</v>
      </c>
      <c r="D18" s="28" t="inlineStr">
        <is>
          <t>optics_dep + optics_other</t>
        </is>
      </c>
      <c r="E18" s="11" t="inlineStr">
        <is>
          <t>'=(I33+I36)</t>
        </is>
      </c>
    </row>
    <row r="19">
      <c r="A19" s="2" t="inlineStr">
        <is>
          <t>optics_dep</t>
        </is>
      </c>
      <c r="B19" s="5" t="inlineStr">
        <is>
          <t>광학 감가상각비</t>
        </is>
      </c>
      <c r="C19" s="2" t="n">
        <v>33</v>
      </c>
      <c r="D19" s="28" t="inlineStr">
        <is>
          <t>IF(optics_dep_actual &gt; 0, optics_dep_actual, PREV(optics_dep) * (1 + optics_dep_g))</t>
        </is>
      </c>
      <c r="E19" s="11" t="inlineStr">
        <is>
          <t>'=IF((I34&gt;0),I34,(H33*(1+I35)))</t>
        </is>
      </c>
    </row>
    <row r="20">
      <c r="A20" s="2" t="inlineStr">
        <is>
          <t>optics_other</t>
        </is>
      </c>
      <c r="B20" s="5" t="inlineStr">
        <is>
          <t>광학 기타비용</t>
        </is>
      </c>
      <c r="C20" s="2" t="n">
        <v>36</v>
      </c>
      <c r="D20" s="28" t="inlineStr">
        <is>
          <t>IF(optics_other_actual &gt; 0, optics_other_actual, optics_total * optics_other_ratio)</t>
        </is>
      </c>
      <c r="E20" s="11" t="inlineStr">
        <is>
          <t>'=IF((I37&gt;0),I37,(I16*I38))</t>
        </is>
      </c>
    </row>
    <row r="21">
      <c r="A21" s="2" t="inlineStr">
        <is>
          <t>pkg_cost</t>
        </is>
      </c>
      <c r="B21" s="5" t="inlineStr">
        <is>
          <t>③ 패키지 비용</t>
        </is>
      </c>
      <c r="C21" s="2" t="n">
        <v>39</v>
      </c>
      <c r="D21" s="28" t="inlineStr">
        <is>
          <t>pkg_dep + pkg_other</t>
        </is>
      </c>
      <c r="E21" s="11" t="inlineStr">
        <is>
          <t>'=(I40+I43)</t>
        </is>
      </c>
    </row>
    <row r="22">
      <c r="A22" s="2" t="inlineStr">
        <is>
          <t>pkg_dep</t>
        </is>
      </c>
      <c r="B22" s="5" t="inlineStr">
        <is>
          <t>패키지 감가상각비</t>
        </is>
      </c>
      <c r="C22" s="2" t="n">
        <v>40</v>
      </c>
      <c r="D22" s="28" t="inlineStr">
        <is>
          <t>IF(pkg_dep_actual &gt; 0, pkg_dep_actual, PREV(pkg_dep) * (1 + pkg_dep_g))</t>
        </is>
      </c>
      <c r="E22" s="11" t="inlineStr">
        <is>
          <t>'=IF((I41&gt;0),I41,(H40*(1+I42)))</t>
        </is>
      </c>
    </row>
    <row r="23">
      <c r="A23" s="2" t="inlineStr">
        <is>
          <t>pkg_other</t>
        </is>
      </c>
      <c r="B23" s="5" t="inlineStr">
        <is>
          <t>패키지 기타비용</t>
        </is>
      </c>
      <c r="C23" s="2" t="n">
        <v>43</v>
      </c>
      <c r="D23" s="28" t="inlineStr">
        <is>
          <t>IF(pkg_other_actual &gt; 0, pkg_other_actual, package_total * pkg_other_ratio)</t>
        </is>
      </c>
      <c r="E23" s="11" t="inlineStr">
        <is>
          <t>'=IF((I44&gt;0),I44,(I20*I45))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dep_total</t>
        </is>
      </c>
      <c r="B8" s="31" t="inlineStr">
        <is>
          <t>감가상각비 합계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op_profit</t>
        </is>
      </c>
      <c r="B9" s="31" t="inlineStr">
        <is>
          <t>영업이익</t>
        </is>
      </c>
      <c r="C9" t="n">
        <v>3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total_revenue</t>
        </is>
      </c>
      <c r="B10" s="32" t="inlineStr">
        <is>
          <t>매출</t>
        </is>
      </c>
      <c r="C10" t="n">
        <v>4</v>
      </c>
      <c r="D10" t="inlineStr">
        <is>
          <t>computed</t>
        </is>
      </c>
      <c r="E10" t="inlineStr">
        <is>
          <t>Y</t>
        </is>
      </c>
      <c r="F10" t="n">
        <v>11</v>
      </c>
      <c r="G10" t="inlineStr">
        <is>
          <t>억원</t>
        </is>
      </c>
    </row>
    <row r="11">
      <c r="A11" s="2" t="inlineStr">
        <is>
          <t>component_total</t>
        </is>
      </c>
      <c r="B11" s="33" t="inlineStr">
        <is>
          <t>① 컴포넌트</t>
        </is>
      </c>
      <c r="C11" t="n">
        <v>5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comp_actual</t>
        </is>
      </c>
      <c r="B12" s="34" t="inlineStr">
        <is>
          <t>컴포넌트 실적</t>
        </is>
      </c>
      <c r="C12" t="n">
        <v>6</v>
      </c>
      <c r="D12" t="inlineStr">
        <is>
          <t>input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comp_vol_g</t>
        </is>
      </c>
      <c r="B13" s="34" t="inlineStr">
        <is>
          <t>컴포넌트 물량 성장률</t>
        </is>
      </c>
      <c r="C13" t="n">
        <v>6</v>
      </c>
      <c r="D13" t="inlineStr">
        <is>
          <t>input</t>
        </is>
      </c>
      <c r="E13" t="inlineStr"/>
      <c r="F13" t="n">
        <v>14</v>
      </c>
      <c r="G13" t="inlineStr">
        <is>
          <t>%</t>
        </is>
      </c>
    </row>
    <row r="14">
      <c r="A14" s="2" t="inlineStr">
        <is>
          <t>comp_price_g</t>
        </is>
      </c>
      <c r="B14" s="34" t="inlineStr">
        <is>
          <t>컴포넌트 단가·믹스 성장률</t>
        </is>
      </c>
      <c r="C14" t="n">
        <v>6</v>
      </c>
      <c r="D14" t="inlineStr">
        <is>
          <t>input</t>
        </is>
      </c>
      <c r="E14" t="inlineStr"/>
      <c r="F14" t="n">
        <v>15</v>
      </c>
      <c r="G14" t="inlineStr">
        <is>
          <t>%</t>
        </is>
      </c>
    </row>
    <row r="15">
      <c r="A15" s="2" t="inlineStr">
        <is>
          <t>optics_total</t>
        </is>
      </c>
      <c r="B15" s="33" t="inlineStr">
        <is>
          <t>② 광학솔루션</t>
        </is>
      </c>
      <c r="C15" t="n">
        <v>5</v>
      </c>
      <c r="D15" t="inlineStr">
        <is>
          <t>computed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optics_actual</t>
        </is>
      </c>
      <c r="B16" s="34" t="inlineStr">
        <is>
          <t>광학 실적</t>
        </is>
      </c>
      <c r="C16" t="n">
        <v>6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optics_vol_g</t>
        </is>
      </c>
      <c r="B17" s="34" t="inlineStr">
        <is>
          <t>광학 물량 성장률</t>
        </is>
      </c>
      <c r="C17" t="n">
        <v>6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optics_price_g</t>
        </is>
      </c>
      <c r="B18" s="34" t="inlineStr">
        <is>
          <t>광학 단가·믹스 성장률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%</t>
        </is>
      </c>
    </row>
    <row r="19">
      <c r="A19" s="2" t="inlineStr">
        <is>
          <t>package_total</t>
        </is>
      </c>
      <c r="B19" s="33" t="inlineStr">
        <is>
          <t>③ 패키지솔루션</t>
        </is>
      </c>
      <c r="C19" t="n">
        <v>5</v>
      </c>
      <c r="D19" t="inlineStr">
        <is>
          <t>computed</t>
        </is>
      </c>
      <c r="E19" t="inlineStr"/>
      <c r="F19" t="n">
        <v>20</v>
      </c>
      <c r="G19" t="inlineStr">
        <is>
          <t>억원</t>
        </is>
      </c>
    </row>
    <row r="20">
      <c r="A20" s="2" t="inlineStr">
        <is>
          <t>pkg_actual</t>
        </is>
      </c>
      <c r="B20" s="34" t="inlineStr">
        <is>
          <t>패키지 실적</t>
        </is>
      </c>
      <c r="C20" t="n">
        <v>6</v>
      </c>
      <c r="D20" t="inlineStr">
        <is>
          <t>input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pkg_vol_g</t>
        </is>
      </c>
      <c r="B21" s="34" t="inlineStr">
        <is>
          <t>패키지 물량 성장률</t>
        </is>
      </c>
      <c r="C21" t="n">
        <v>6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pkg_price_g</t>
        </is>
      </c>
      <c r="B22" s="34" t="inlineStr">
        <is>
          <t>패키지 단가·믹스 성장률</t>
        </is>
      </c>
      <c r="C22" t="n">
        <v>6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2" t="inlineStr">
        <is>
          <t>비용</t>
        </is>
      </c>
      <c r="C23" t="n">
        <v>4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comp_cost</t>
        </is>
      </c>
      <c r="B24" s="33" t="inlineStr">
        <is>
          <t>① 컴포넌트 비용</t>
        </is>
      </c>
      <c r="C24" t="n">
        <v>5</v>
      </c>
      <c r="D24" t="inlineStr">
        <is>
          <t>computed</t>
        </is>
      </c>
      <c r="E24" t="inlineStr">
        <is>
          <t>Y</t>
        </is>
      </c>
      <c r="F24" t="n">
        <v>25</v>
      </c>
      <c r="G24" t="inlineStr">
        <is>
          <t>억원</t>
        </is>
      </c>
    </row>
    <row r="25">
      <c r="A25" s="2" t="inlineStr">
        <is>
          <t>comp_dep</t>
        </is>
      </c>
      <c r="B25" s="34" t="inlineStr">
        <is>
          <t>컴포넌트 감가상각비</t>
        </is>
      </c>
      <c r="C25" t="n">
        <v>6</v>
      </c>
      <c r="D25" t="inlineStr">
        <is>
          <t>computed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comp_dep_actual</t>
        </is>
      </c>
      <c r="B26" s="35" t="inlineStr">
        <is>
          <t>컴포넌트 감가 실적</t>
        </is>
      </c>
      <c r="C26" t="n">
        <v>7</v>
      </c>
      <c r="D26" t="inlineStr">
        <is>
          <t>input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comp_dep_g</t>
        </is>
      </c>
      <c r="B27" s="35" t="inlineStr">
        <is>
          <t>컴포넌트 감가 증가율</t>
        </is>
      </c>
      <c r="C27" t="n">
        <v>7</v>
      </c>
      <c r="D27" t="inlineStr">
        <is>
          <t>input</t>
        </is>
      </c>
      <c r="E27" t="inlineStr"/>
      <c r="F27" t="n">
        <v>28</v>
      </c>
      <c r="G27" t="inlineStr">
        <is>
          <t>%</t>
        </is>
      </c>
    </row>
    <row r="28">
      <c r="A28" s="2" t="inlineStr">
        <is>
          <t>comp_other</t>
        </is>
      </c>
      <c r="B28" s="34" t="inlineStr">
        <is>
          <t>컴포넌트 기타비용</t>
        </is>
      </c>
      <c r="C28" t="n">
        <v>6</v>
      </c>
      <c r="D28" t="inlineStr">
        <is>
          <t>computed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comp_other_actual</t>
        </is>
      </c>
      <c r="B29" s="35" t="inlineStr">
        <is>
          <t>컴포넌트 기타비용 실적</t>
        </is>
      </c>
      <c r="C29" t="n">
        <v>7</v>
      </c>
      <c r="D29" t="inlineStr">
        <is>
          <t>input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comp_other_ratio</t>
        </is>
      </c>
      <c r="B30" s="35" t="inlineStr">
        <is>
          <t>컴포넌트 기타비용률</t>
        </is>
      </c>
      <c r="C30" t="n">
        <v>7</v>
      </c>
      <c r="D30" t="inlineStr">
        <is>
          <t>input</t>
        </is>
      </c>
      <c r="E30" t="inlineStr"/>
      <c r="F30" t="n">
        <v>31</v>
      </c>
      <c r="G30" t="inlineStr">
        <is>
          <t>%</t>
        </is>
      </c>
    </row>
    <row r="31">
      <c r="A31" s="2" t="inlineStr">
        <is>
          <t>optics_cost</t>
        </is>
      </c>
      <c r="B31" s="33" t="inlineStr">
        <is>
          <t>② 광학 비용</t>
        </is>
      </c>
      <c r="C31" t="n">
        <v>5</v>
      </c>
      <c r="D31" t="inlineStr">
        <is>
          <t>computed</t>
        </is>
      </c>
      <c r="E31" t="inlineStr">
        <is>
          <t>Y</t>
        </is>
      </c>
      <c r="F31" t="n">
        <v>32</v>
      </c>
      <c r="G31" t="inlineStr">
        <is>
          <t>억원</t>
        </is>
      </c>
    </row>
    <row r="32">
      <c r="A32" s="2" t="inlineStr">
        <is>
          <t>optics_dep</t>
        </is>
      </c>
      <c r="B32" s="34" t="inlineStr">
        <is>
          <t>광학 감가상각비</t>
        </is>
      </c>
      <c r="C32" t="n">
        <v>6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optics_dep_actual</t>
        </is>
      </c>
      <c r="B33" s="35" t="inlineStr">
        <is>
          <t>광학 감가 실적</t>
        </is>
      </c>
      <c r="C33" t="n">
        <v>7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optics_dep_g</t>
        </is>
      </c>
      <c r="B34" s="35" t="inlineStr">
        <is>
          <t>광학 감가 증가율</t>
        </is>
      </c>
      <c r="C34" t="n">
        <v>7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optics_other</t>
        </is>
      </c>
      <c r="B35" s="34" t="inlineStr">
        <is>
          <t>광학 기타비용</t>
        </is>
      </c>
      <c r="C35" t="n">
        <v>6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optics_other_actual</t>
        </is>
      </c>
      <c r="B36" s="35" t="inlineStr">
        <is>
          <t>광학 기타비용 실적</t>
        </is>
      </c>
      <c r="C36" t="n">
        <v>7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optics_other_ratio</t>
        </is>
      </c>
      <c r="B37" s="35" t="inlineStr">
        <is>
          <t>광학 기타비용률</t>
        </is>
      </c>
      <c r="C37" t="n">
        <v>7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pkg_cost</t>
        </is>
      </c>
      <c r="B38" s="33" t="inlineStr">
        <is>
          <t>③ 패키지 비용</t>
        </is>
      </c>
      <c r="C38" t="n">
        <v>5</v>
      </c>
      <c r="D38" t="inlineStr">
        <is>
          <t>computed</t>
        </is>
      </c>
      <c r="E38" t="inlineStr">
        <is>
          <t>Y</t>
        </is>
      </c>
      <c r="F38" t="n">
        <v>39</v>
      </c>
      <c r="G38" t="inlineStr">
        <is>
          <t>억원</t>
        </is>
      </c>
    </row>
    <row r="39">
      <c r="A39" s="2" t="inlineStr">
        <is>
          <t>pkg_dep</t>
        </is>
      </c>
      <c r="B39" s="34" t="inlineStr">
        <is>
          <t>패키지 감가상각비</t>
        </is>
      </c>
      <c r="C39" t="n">
        <v>6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pkg_dep_actual</t>
        </is>
      </c>
      <c r="B40" s="35" t="inlineStr">
        <is>
          <t>패키지 감가 실적</t>
        </is>
      </c>
      <c r="C40" t="n">
        <v>7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pkg_dep_g</t>
        </is>
      </c>
      <c r="B41" s="35" t="inlineStr">
        <is>
          <t>패키지 감가 증가율</t>
        </is>
      </c>
      <c r="C41" t="n">
        <v>7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pkg_other</t>
        </is>
      </c>
      <c r="B42" s="34" t="inlineStr">
        <is>
          <t>패키지 기타비용</t>
        </is>
      </c>
      <c r="C42" t="n">
        <v>6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pkg_other_actual</t>
        </is>
      </c>
      <c r="B43" s="35" t="inlineStr">
        <is>
          <t>패키지 기타비용 실적</t>
        </is>
      </c>
      <c r="C43" t="n">
        <v>7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pkg_other_ratio</t>
        </is>
      </c>
      <c r="B44" s="35" t="inlineStr">
        <is>
          <t>패키지 기타비용률</t>
        </is>
      </c>
      <c r="C44" t="n">
        <v>7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net_debt</t>
        </is>
      </c>
      <c r="B45" s="29" t="inlineStr">
        <is>
          <t>순차입금</t>
        </is>
      </c>
      <c r="C45" t="n">
        <v>1</v>
      </c>
      <c r="D45" t="inlineStr">
        <is>
          <t>input</t>
        </is>
      </c>
      <c r="E45" t="inlineStr"/>
      <c r="F45" t="n">
        <v>46</v>
      </c>
      <c r="G45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ROUND(Model!D8-(Model!D9+Model!D10),6)</f>
        <v/>
      </c>
      <c r="E5" s="36">
        <f>ROUND(Model!E8-(Model!E9+Model!E10),6)</f>
        <v/>
      </c>
      <c r="F5" s="36">
        <f>ROUND(Model!F8-(Model!F9+Model!F10),6)</f>
        <v/>
      </c>
      <c r="G5" s="36">
        <f>ROUND(Model!G8-(Model!G9+Model!G10),6)</f>
        <v/>
      </c>
      <c r="H5" s="36">
        <f>ROUND(Model!H8-(Model!H9+Model!H10),6)</f>
        <v/>
      </c>
      <c r="I5" s="36">
        <f>ROUND(Model!I8-(Model!I9+Model!I10),6)</f>
        <v/>
      </c>
      <c r="J5" s="36">
        <f>ROUND(Model!J8-(Model!J9+Model!J10),6)</f>
        <v/>
      </c>
      <c r="K5" s="36">
        <f>ROUND(Model!K8-(Model!K9+Model!K10),6)</f>
        <v/>
      </c>
      <c r="L5" s="36">
        <f>ROUND(Model!L8-(Model!L9+Model!L10),6)</f>
        <v/>
      </c>
      <c r="M5" s="36">
        <f>ROUND(Model!M8-(Model!M9+Model!M10),6)</f>
        <v/>
      </c>
    </row>
    <row r="6">
      <c r="A6" s="5" t="inlineStr">
        <is>
          <t>매출</t>
        </is>
      </c>
      <c r="B6" s="2" t="inlineStr">
        <is>
          <t>부모 − 자식합</t>
        </is>
      </c>
      <c r="D6" s="36">
        <f>ROUND(Model!D11-(Model!D12+Model!D16+Model!D20),6)</f>
        <v/>
      </c>
      <c r="E6" s="36">
        <f>ROUND(Model!E11-(Model!E12+Model!E16+Model!E20),6)</f>
        <v/>
      </c>
      <c r="F6" s="36">
        <f>ROUND(Model!F11-(Model!F12+Model!F16+Model!F20),6)</f>
        <v/>
      </c>
      <c r="G6" s="36">
        <f>ROUND(Model!G11-(Model!G12+Model!G16+Model!G20),6)</f>
        <v/>
      </c>
      <c r="H6" s="36">
        <f>ROUND(Model!H11-(Model!H12+Model!H16+Model!H20),6)</f>
        <v/>
      </c>
      <c r="I6" s="36">
        <f>ROUND(Model!I11-(Model!I12+Model!I16+Model!I20),6)</f>
        <v/>
      </c>
      <c r="J6" s="36">
        <f>ROUND(Model!J11-(Model!J12+Model!J16+Model!J20),6)</f>
        <v/>
      </c>
      <c r="K6" s="36">
        <f>ROUND(Model!K11-(Model!K12+Model!K16+Model!K20),6)</f>
        <v/>
      </c>
      <c r="L6" s="36">
        <f>ROUND(Model!L11-(Model!L12+Model!L16+Model!L20),6)</f>
        <v/>
      </c>
      <c r="M6" s="36">
        <f>ROUND(Model!M11-(Model!M12+Model!M16+Model!M20),6)</f>
        <v/>
      </c>
    </row>
    <row r="7">
      <c r="A7" s="5" t="inlineStr">
        <is>
          <t>비용</t>
        </is>
      </c>
      <c r="B7" s="2" t="inlineStr">
        <is>
          <t>부모 − 자식합</t>
        </is>
      </c>
      <c r="D7" s="36">
        <f>ROUND(Model!D24-(Model!D25+Model!D32+Model!D39),6)</f>
        <v/>
      </c>
      <c r="E7" s="36">
        <f>ROUND(Model!E24-(Model!E25+Model!E32+Model!E39),6)</f>
        <v/>
      </c>
      <c r="F7" s="36">
        <f>ROUND(Model!F24-(Model!F25+Model!F32+Model!F39),6)</f>
        <v/>
      </c>
      <c r="G7" s="36">
        <f>ROUND(Model!G24-(Model!G25+Model!G32+Model!G39),6)</f>
        <v/>
      </c>
      <c r="H7" s="36">
        <f>ROUND(Model!H24-(Model!H25+Model!H32+Model!H39),6)</f>
        <v/>
      </c>
      <c r="I7" s="36">
        <f>ROUND(Model!I24-(Model!I25+Model!I32+Model!I39),6)</f>
        <v/>
      </c>
      <c r="J7" s="36">
        <f>ROUND(Model!J24-(Model!J25+Model!J32+Model!J39),6)</f>
        <v/>
      </c>
      <c r="K7" s="36">
        <f>ROUND(Model!K24-(Model!K25+Model!K32+Model!K39),6)</f>
        <v/>
      </c>
      <c r="L7" s="36">
        <f>ROUND(Model!L24-(Model!L25+Model!L32+Model!L39),6)</f>
        <v/>
      </c>
      <c r="M7" s="36">
        <f>ROUND(Model!M24-(Model!M25+Model!M32+Model!M39),6)</f>
        <v/>
      </c>
    </row>
    <row r="8">
      <c r="A8" s="5" t="inlineStr">
        <is>
          <t>① 컴포넌트 비용</t>
        </is>
      </c>
      <c r="B8" s="2" t="inlineStr">
        <is>
          <t>부모 − 자식합</t>
        </is>
      </c>
      <c r="D8" s="36">
        <f>ROUND(Model!D25-(Model!D26+Model!D29),6)</f>
        <v/>
      </c>
      <c r="E8" s="36">
        <f>ROUND(Model!E25-(Model!E26+Model!E29),6)</f>
        <v/>
      </c>
      <c r="F8" s="36">
        <f>ROUND(Model!F25-(Model!F26+Model!F29),6)</f>
        <v/>
      </c>
      <c r="G8" s="36">
        <f>ROUND(Model!G25-(Model!G26+Model!G29),6)</f>
        <v/>
      </c>
      <c r="H8" s="36">
        <f>ROUND(Model!H25-(Model!H26+Model!H29),6)</f>
        <v/>
      </c>
      <c r="I8" s="36">
        <f>ROUND(Model!I25-(Model!I26+Model!I29),6)</f>
        <v/>
      </c>
      <c r="J8" s="36">
        <f>ROUND(Model!J25-(Model!J26+Model!J29),6)</f>
        <v/>
      </c>
      <c r="K8" s="36">
        <f>ROUND(Model!K25-(Model!K26+Model!K29),6)</f>
        <v/>
      </c>
      <c r="L8" s="36">
        <f>ROUND(Model!L25-(Model!L26+Model!L29),6)</f>
        <v/>
      </c>
      <c r="M8" s="36">
        <f>ROUND(Model!M25-(Model!M26+Model!M29),6)</f>
        <v/>
      </c>
    </row>
    <row r="9">
      <c r="A9" s="5" t="inlineStr">
        <is>
          <t>② 광학 비용</t>
        </is>
      </c>
      <c r="B9" s="2" t="inlineStr">
        <is>
          <t>부모 − 자식합</t>
        </is>
      </c>
      <c r="D9" s="36">
        <f>ROUND(Model!D32-(Model!D33+Model!D36),6)</f>
        <v/>
      </c>
      <c r="E9" s="36">
        <f>ROUND(Model!E32-(Model!E33+Model!E36),6)</f>
        <v/>
      </c>
      <c r="F9" s="36">
        <f>ROUND(Model!F32-(Model!F33+Model!F36),6)</f>
        <v/>
      </c>
      <c r="G9" s="36">
        <f>ROUND(Model!G32-(Model!G33+Model!G36),6)</f>
        <v/>
      </c>
      <c r="H9" s="36">
        <f>ROUND(Model!H32-(Model!H33+Model!H36),6)</f>
        <v/>
      </c>
      <c r="I9" s="36">
        <f>ROUND(Model!I32-(Model!I33+Model!I36),6)</f>
        <v/>
      </c>
      <c r="J9" s="36">
        <f>ROUND(Model!J32-(Model!J33+Model!J36),6)</f>
        <v/>
      </c>
      <c r="K9" s="36">
        <f>ROUND(Model!K32-(Model!K33+Model!K36),6)</f>
        <v/>
      </c>
      <c r="L9" s="36">
        <f>ROUND(Model!L32-(Model!L33+Model!L36),6)</f>
        <v/>
      </c>
      <c r="M9" s="36">
        <f>ROUND(Model!M32-(Model!M33+Model!M36),6)</f>
        <v/>
      </c>
    </row>
    <row r="10">
      <c r="A10" s="5" t="inlineStr">
        <is>
          <t>③ 패키지 비용</t>
        </is>
      </c>
      <c r="B10" s="2" t="inlineStr">
        <is>
          <t>부모 − 자식합</t>
        </is>
      </c>
      <c r="D10" s="36">
        <f>ROUND(Model!D39-(Model!D40+Model!D43),6)</f>
        <v/>
      </c>
      <c r="E10" s="36">
        <f>ROUND(Model!E39-(Model!E40+Model!E43),6)</f>
        <v/>
      </c>
      <c r="F10" s="36">
        <f>ROUND(Model!F39-(Model!F40+Model!F43),6)</f>
        <v/>
      </c>
      <c r="G10" s="36">
        <f>ROUND(Model!G39-(Model!G40+Model!G43),6)</f>
        <v/>
      </c>
      <c r="H10" s="36">
        <f>ROUND(Model!H39-(Model!H40+Model!H43),6)</f>
        <v/>
      </c>
      <c r="I10" s="36">
        <f>ROUND(Model!I39-(Model!I40+Model!I43),6)</f>
        <v/>
      </c>
      <c r="J10" s="36">
        <f>ROUND(Model!J39-(Model!J40+Model!J43),6)</f>
        <v/>
      </c>
      <c r="K10" s="36">
        <f>ROUND(Model!K39-(Model!K40+Model!K43),6)</f>
        <v/>
      </c>
      <c r="L10" s="36">
        <f>ROUND(Model!L39-(Model!L40+Model!L43),6)</f>
        <v/>
      </c>
      <c r="M10" s="36">
        <f>ROUND(Model!M39-(Model!M40+Model!M43),6)</f>
        <v/>
      </c>
    </row>
    <row r="12">
      <c r="A12" s="4" t="inlineStr">
        <is>
          <t>합계형 노드 수</t>
        </is>
      </c>
      <c r="B12" t="n">
        <v>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1555f452250127f1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42</v>
      </c>
    </row>
    <row r="8">
      <c r="A8" s="4" t="inlineStr">
        <is>
          <t>입력 노드 수</t>
        </is>
      </c>
      <c r="B8" t="n">
        <v>23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samsung_em_revenue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
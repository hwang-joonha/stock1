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영업이익 조정 실적</t>
        </is>
      </c>
      <c r="B8" s="2" t="inlineStr">
        <is>
          <t>op_adj_a</t>
        </is>
      </c>
      <c r="C8" s="2" t="inlineStr">
        <is>
          <t>억원</t>
        </is>
      </c>
      <c r="D8" s="9" t="n">
        <v>-11.81</v>
      </c>
      <c r="E8" s="9" t="n">
        <v>-187.75</v>
      </c>
      <c r="F8" s="9" t="n">
        <v>3215.49</v>
      </c>
      <c r="G8" s="9" t="n">
        <v>1505.69</v>
      </c>
      <c r="H8" s="9" t="n">
        <v>2429.24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부문별 보고 주석의 내부거래 조정.</t>
        </is>
      </c>
    </row>
    <row r="9">
      <c r="A9" s="5" t="inlineStr">
        <is>
          <t>DS 영업이익 실적</t>
        </is>
      </c>
      <c r="B9" s="2" t="inlineStr">
        <is>
          <t>ds_op_a</t>
        </is>
      </c>
      <c r="C9" s="2" t="inlineStr">
        <is>
          <t>억원</t>
        </is>
      </c>
      <c r="D9" s="9" t="n">
        <v>291920.21</v>
      </c>
      <c r="E9" s="9" t="n">
        <v>238158.1</v>
      </c>
      <c r="F9" s="9" t="n">
        <v>-148794.58</v>
      </c>
      <c r="G9" s="9" t="n">
        <v>150944.86</v>
      </c>
      <c r="H9" s="9" t="n">
        <v>248580.75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[객관] 부문별 보고 주석. 2023년 −14.9조는 메모리 다운사이클의 바닥.</t>
        </is>
      </c>
    </row>
    <row r="10">
      <c r="A10" s="5" t="inlineStr">
        <is>
          <t>DS 영업이익률</t>
        </is>
      </c>
      <c r="B10" s="2" t="inlineStr">
        <is>
          <t>ds_opm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0.6899999999999999</v>
      </c>
      <c r="J10" s="13" t="n">
        <v>0.6</v>
      </c>
      <c r="K10" s="13" t="n">
        <v>0.47</v>
      </c>
      <c r="L10" s="13" t="n">
        <v>0.41</v>
      </c>
      <c r="M10" s="13" t="n">
        <v>0.4</v>
      </c>
      <c r="N10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1">
      <c r="A11" s="5" t="inlineStr">
        <is>
          <t>DS 매출 실적</t>
        </is>
      </c>
      <c r="B11" s="2" t="inlineStr">
        <is>
          <t>ds_rev_a</t>
        </is>
      </c>
      <c r="C11" s="2" t="inlineStr">
        <is>
          <t>억원</t>
        </is>
      </c>
      <c r="D11" s="9" t="n">
        <v>953871.73</v>
      </c>
      <c r="E11" s="9" t="n">
        <v>984552.7</v>
      </c>
      <c r="F11" s="9" t="n">
        <v>665944.71</v>
      </c>
      <c r="G11" s="9" t="n">
        <v>1110659.5</v>
      </c>
      <c r="H11" s="9" t="n">
        <v>1301281.62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1" t="inlineStr">
        <is>
          <t>[객관] 부문별 보고 주석.</t>
        </is>
      </c>
    </row>
    <row r="12">
      <c r="A12" s="5" t="inlineStr">
        <is>
          <t>DS 매출 성장률</t>
        </is>
      </c>
      <c r="B12" s="2" t="inlineStr">
        <is>
          <t>ds_g</t>
        </is>
      </c>
      <c r="C12" s="2" t="inlineStr">
        <is>
          <t>%</t>
        </is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3" t="n">
        <v>2.57</v>
      </c>
      <c r="J12" s="13" t="n">
        <v>0.08</v>
      </c>
      <c r="K12" s="13" t="n">
        <v>-0.12</v>
      </c>
      <c r="L12" s="13" t="n">
        <v>-0.03</v>
      </c>
      <c r="M12" s="13" t="n">
        <v>0.05</v>
      </c>
      <c r="N12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13">
      <c r="A13" s="5" t="inlineStr">
        <is>
          <t>DX 영업이익 실적</t>
        </is>
      </c>
      <c r="B13" s="2" t="inlineStr">
        <is>
          <t>dx_op_a</t>
        </is>
      </c>
      <c r="C13" s="2" t="inlineStr">
        <is>
          <t>억원</t>
        </is>
      </c>
      <c r="D13" s="9" t="n">
        <v>173865.54</v>
      </c>
      <c r="E13" s="9" t="n">
        <v>127460.74</v>
      </c>
      <c r="F13" s="9" t="n">
        <v>143847.05</v>
      </c>
      <c r="G13" s="9" t="n">
        <v>124398.97</v>
      </c>
      <c r="H13" s="9" t="n">
        <v>128526.5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부문별 보고 주석.</t>
        </is>
      </c>
    </row>
    <row r="14">
      <c r="A14" s="5" t="inlineStr">
        <is>
          <t>DX 영업이익률</t>
        </is>
      </c>
      <c r="B14" s="2" t="inlineStr">
        <is>
          <t>dx_opm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0.021</v>
      </c>
      <c r="J14" s="13" t="n">
        <v>0.03</v>
      </c>
      <c r="K14" s="13" t="n">
        <v>0.035</v>
      </c>
      <c r="L14" s="13" t="n">
        <v>0.04</v>
      </c>
      <c r="M14" s="13" t="n">
        <v>0.04</v>
      </c>
      <c r="N14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15">
      <c r="A15" s="5" t="inlineStr">
        <is>
          <t>DX 매출 실적</t>
        </is>
      </c>
      <c r="B15" s="2" t="inlineStr">
        <is>
          <t>dx_rev_a</t>
        </is>
      </c>
      <c r="C15" s="2" t="inlineStr">
        <is>
          <t>억원</t>
        </is>
      </c>
      <c r="D15" s="9" t="n">
        <v>1662594.37</v>
      </c>
      <c r="E15" s="9" t="n">
        <v>1824897.2</v>
      </c>
      <c r="F15" s="9" t="n">
        <v>1699923.37</v>
      </c>
      <c r="G15" s="9" t="n">
        <v>1748876.83</v>
      </c>
      <c r="H15" s="9" t="n">
        <v>1879673.46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주석.</t>
        </is>
      </c>
    </row>
    <row r="16">
      <c r="A16" s="5" t="inlineStr">
        <is>
          <t>DX 매출 성장률</t>
        </is>
      </c>
      <c r="B16" s="2" t="inlineStr">
        <is>
          <t>dx_g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0.09</v>
      </c>
      <c r="J16" s="13" t="n">
        <v>0.03</v>
      </c>
      <c r="K16" s="13" t="n">
        <v>0.02</v>
      </c>
      <c r="L16" s="13" t="n">
        <v>0.02</v>
      </c>
      <c r="M16" s="13" t="n">
        <v>0.02</v>
      </c>
      <c r="N16" s="11" t="inlineStr">
        <is>
          <t>[주관] 2026 +9%는 상반기 확정(100.7조, YoY +5.7%)에 하반기 성수기를 얹은 값. 이후 +2~3% — 성숙 사업.</t>
        </is>
      </c>
    </row>
    <row r="17">
      <c r="A17" s="5" t="inlineStr">
        <is>
          <t>SDC 영업이익 실적</t>
        </is>
      </c>
      <c r="B17" s="2" t="inlineStr">
        <is>
          <t>sdc_op_a</t>
        </is>
      </c>
      <c r="C17" s="2" t="inlineStr">
        <is>
          <t>억원</t>
        </is>
      </c>
      <c r="D17" s="9" t="n">
        <v>44573.65</v>
      </c>
      <c r="E17" s="9" t="n">
        <v>59529.73</v>
      </c>
      <c r="F17" s="9" t="n">
        <v>55664.78</v>
      </c>
      <c r="G17" s="9" t="n">
        <v>37334.29</v>
      </c>
      <c r="H17" s="9" t="n">
        <v>41163.08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[객관] 부문별 보고 주석.</t>
        </is>
      </c>
    </row>
    <row r="18">
      <c r="A18" s="5" t="inlineStr">
        <is>
          <t>SDC 영업이익률</t>
        </is>
      </c>
      <c r="B18" s="2" t="inlineStr">
        <is>
          <t>sdc_opm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0.074</v>
      </c>
      <c r="J18" s="13" t="n">
        <v>0.09</v>
      </c>
      <c r="K18" s="13" t="n">
        <v>0.1</v>
      </c>
      <c r="L18" s="13" t="n">
        <v>0.11</v>
      </c>
      <c r="M18" s="13" t="n">
        <v>0.11</v>
      </c>
      <c r="N18" s="11" t="inlineStr">
        <is>
          <t>[주관] 2026년 7.4%는 상반기 확정. 이후 역사 범위(12.8~18.0%) 하단으로 회복.</t>
        </is>
      </c>
    </row>
    <row r="19">
      <c r="A19" s="5" t="inlineStr">
        <is>
          <t>SDC 매출 실적</t>
        </is>
      </c>
      <c r="B19" s="2" t="inlineStr">
        <is>
          <t>sdc_rev_a</t>
        </is>
      </c>
      <c r="C19" s="2" t="inlineStr">
        <is>
          <t>억원</t>
        </is>
      </c>
      <c r="D19" s="9" t="n">
        <v>317125.26</v>
      </c>
      <c r="E19" s="9" t="n">
        <v>343826.19</v>
      </c>
      <c r="F19" s="9" t="n">
        <v>309753.73</v>
      </c>
      <c r="G19" s="9" t="n">
        <v>291578.2</v>
      </c>
      <c r="H19" s="9" t="n">
        <v>298416.61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[객관] 부문별 보고 주석.</t>
        </is>
      </c>
    </row>
    <row r="20">
      <c r="A20" s="5" t="inlineStr">
        <is>
          <t>SDC 매출 성장률</t>
        </is>
      </c>
      <c r="B20" s="2" t="inlineStr">
        <is>
          <t>sdc_g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-0.03</v>
      </c>
      <c r="J20" s="13" t="n">
        <v>0.05</v>
      </c>
      <c r="K20" s="13" t="n">
        <v>0.03</v>
      </c>
      <c r="L20" s="13" t="n">
        <v>0.02</v>
      </c>
      <c r="M20" s="13" t="n">
        <v>0.02</v>
      </c>
      <c r="N20" s="11" t="inlineStr">
        <is>
          <t>[주관] 2026 −3%는 상반기 확정(14.2조, YoY +15.8%)과 하반기 기저를 감안. IT OLED 전환이 완만한 회복을 이끈다고 봤다.</t>
        </is>
      </c>
    </row>
    <row r="21">
      <c r="A21" s="5" t="inlineStr">
        <is>
          <t>Harman 영업이익 실적</t>
        </is>
      </c>
      <c r="B21" s="2" t="inlineStr">
        <is>
          <t>harman_op_a</t>
        </is>
      </c>
      <c r="C21" s="2" t="inlineStr">
        <is>
          <t>억원</t>
        </is>
      </c>
      <c r="D21" s="9" t="n">
        <v>5990.97</v>
      </c>
      <c r="E21" s="9" t="n">
        <v>8805.48</v>
      </c>
      <c r="F21" s="9" t="n">
        <v>11737.02</v>
      </c>
      <c r="G21" s="9" t="n">
        <v>13075.8</v>
      </c>
      <c r="H21" s="9" t="n">
        <v>15310.94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[객관] 부문별 보고 주석.</t>
        </is>
      </c>
    </row>
    <row r="22">
      <c r="A22" s="5" t="inlineStr">
        <is>
          <t>Harman 영업이익률</t>
        </is>
      </c>
      <c r="B22" s="2" t="inlineStr">
        <is>
          <t>harman_opm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0.076</v>
      </c>
      <c r="J22" s="13" t="n">
        <v>0.08500000000000001</v>
      </c>
      <c r="K22" s="13" t="n">
        <v>0.09</v>
      </c>
      <c r="L22" s="13" t="n">
        <v>0.09</v>
      </c>
      <c r="M22" s="13" t="n">
        <v>0.09</v>
      </c>
      <c r="N22" s="11" t="inlineStr">
        <is>
          <t>[주관] 상반기 확정 7.6%에서 9%로 완만히 개선.</t>
        </is>
      </c>
    </row>
    <row r="23">
      <c r="A23" s="5" t="inlineStr">
        <is>
          <t>Harman 매출 실적</t>
        </is>
      </c>
      <c r="B23" s="2" t="inlineStr">
        <is>
          <t>harman_rev_a</t>
        </is>
      </c>
      <c r="C23" s="2" t="inlineStr">
        <is>
          <t>억원</t>
        </is>
      </c>
      <c r="D23" s="9" t="n">
        <v>100399.22</v>
      </c>
      <c r="E23" s="9" t="n">
        <v>132136.94</v>
      </c>
      <c r="F23" s="9" t="n">
        <v>143884.54</v>
      </c>
      <c r="G23" s="9" t="n">
        <v>142749.3</v>
      </c>
      <c r="H23" s="9" t="n">
        <v>157833.25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[객관] 부문별 보고 주석.</t>
        </is>
      </c>
    </row>
    <row r="24">
      <c r="A24" s="5" t="inlineStr">
        <is>
          <t>Harman 매출 성장률</t>
        </is>
      </c>
      <c r="B24" s="2" t="inlineStr">
        <is>
          <t>harman_g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0.09</v>
      </c>
      <c r="J24" s="13" t="n">
        <v>0.06</v>
      </c>
      <c r="K24" s="13" t="n">
        <v>0.05</v>
      </c>
      <c r="L24" s="13" t="n">
        <v>0.04</v>
      </c>
      <c r="M24" s="13" t="n">
        <v>0.03</v>
      </c>
      <c r="N24" s="11" t="inlineStr">
        <is>
          <t>[주관] 상반기 확정(8.4조, YoY +15.8%)에서 체감.</t>
        </is>
      </c>
    </row>
    <row r="25">
      <c r="A25" s="5" t="inlineStr">
        <is>
          <t>조정 실적</t>
        </is>
      </c>
      <c r="B25" s="2" t="inlineStr">
        <is>
          <t>rev_adj_a</t>
        </is>
      </c>
      <c r="C25" s="2" t="inlineStr">
        <is>
          <t>억원</t>
        </is>
      </c>
      <c r="D25" s="9" t="n">
        <v>-237942.59</v>
      </c>
      <c r="E25" s="9" t="n">
        <v>-263099.43</v>
      </c>
      <c r="F25" s="9" t="n">
        <v>-230151.41</v>
      </c>
      <c r="G25" s="9" t="n">
        <v>-285154.8</v>
      </c>
      <c r="H25" s="9" t="n">
        <v>-301145.56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[객관] 부문별 보고 주석의 내부거래 조정 열.</t>
        </is>
      </c>
    </row>
    <row r="26">
      <c r="A26" s="5" t="inlineStr">
        <is>
          <t>조정률</t>
        </is>
      </c>
      <c r="B26" s="2" t="inlineStr">
        <is>
          <t>adj_ratio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-0.082</v>
      </c>
      <c r="J26" s="13" t="n">
        <v>-0.082</v>
      </c>
      <c r="K26" s="13" t="n">
        <v>-0.082</v>
      </c>
      <c r="L26" s="13" t="n">
        <v>-0.082</v>
      </c>
      <c r="M26" s="13" t="n">
        <v>-0.082</v>
      </c>
      <c r="N26" s="11" t="inlineStr">
        <is>
          <t>[주관] 5개년 평균 −8.3%, 2026 상반기 −8.2%. 고정.</t>
        </is>
      </c>
    </row>
    <row r="27">
      <c r="A27" s="5" t="inlineStr">
        <is>
          <t>실적 구간 표시</t>
        </is>
      </c>
      <c r="B27" s="2" t="inlineStr">
        <is>
          <t>hist</t>
        </is>
      </c>
      <c r="C27" s="2" t="inlineStr"/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28">
      <c r="A28" s="5" t="inlineStr">
        <is>
          <t>순차입금 (음수 = 순현금)</t>
        </is>
      </c>
      <c r="B28" s="2" t="inlineStr">
        <is>
          <t>net_debt</t>
        </is>
      </c>
      <c r="C28" s="2" t="inlineStr">
        <is>
          <t>억원</t>
        </is>
      </c>
      <c r="D28" s="9" t="n">
        <v>-1023482.52</v>
      </c>
      <c r="E28" s="9" t="n">
        <v>-1044503.54</v>
      </c>
      <c r="F28" s="9" t="n">
        <v>-790858.73</v>
      </c>
      <c r="G28" s="9" t="n">
        <v>-932847.29</v>
      </c>
      <c r="H28" s="9" t="n">
        <v>-1005822.6</v>
      </c>
      <c r="I28" s="10" t="n">
        <v>-1005822.6</v>
      </c>
      <c r="J28" s="10" t="n">
        <v>-1005822.6</v>
      </c>
      <c r="K28" s="10" t="n">
        <v>-1005822.6</v>
      </c>
      <c r="L28" s="10" t="n">
        <v>-1005822.6</v>
      </c>
      <c r="M28" s="10" t="n">
        <v>-1005822.6</v>
      </c>
      <c r="N28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(D6-D44)</f>
        <v/>
      </c>
      <c r="E5" s="14">
        <f>(E6-E44)</f>
        <v/>
      </c>
      <c r="F5" s="14">
        <f>(F6-F44)</f>
        <v/>
      </c>
      <c r="G5" s="14">
        <f>(G6-G44)</f>
        <v/>
      </c>
      <c r="H5" s="14">
        <f>(H6-H44)</f>
        <v/>
      </c>
      <c r="I5" s="14">
        <f>(I6-I44)</f>
        <v/>
      </c>
      <c r="J5" s="14">
        <f>(J6-J44)</f>
        <v/>
      </c>
      <c r="K5" s="14">
        <f>(K6-K44)</f>
        <v/>
      </c>
      <c r="L5" s="14">
        <f>(L6-L44)</f>
        <v/>
      </c>
      <c r="M5" s="14">
        <f>(M6-M44)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IF((D43&gt;0),D10,(0*(1+D11)))</f>
        <v/>
      </c>
      <c r="E9" s="16">
        <f>IF((E43&gt;0),E10,(D9*(1+E11)))</f>
        <v/>
      </c>
      <c r="F9" s="16">
        <f>IF((F43&gt;0),F10,(E9*(1+F11)))</f>
        <v/>
      </c>
      <c r="G9" s="16">
        <f>IF((G43&gt;0),G10,(F9*(1+G11)))</f>
        <v/>
      </c>
      <c r="H9" s="16">
        <f>IF((H43&gt;0),H10,(G9*(1+H11)))</f>
        <v/>
      </c>
      <c r="I9" s="17">
        <f>IF((I43&gt;0),I10,(H9*(1+I11)))</f>
        <v/>
      </c>
      <c r="J9" s="17">
        <f>IF((J43&gt;0),J10,(I9*(1+J11)))</f>
        <v/>
      </c>
      <c r="K9" s="17">
        <f>IF((K43&gt;0),K10,(J9*(1+K11)))</f>
        <v/>
      </c>
      <c r="L9" s="17">
        <f>IF((L43&gt;0),L10,(K9*(1+L11)))</f>
        <v/>
      </c>
      <c r="M9" s="17">
        <f>IF((M43&gt;0),M10,(L9*(1+M11)))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((((D21+D15)+D27)+D33)+D13)</f>
        <v/>
      </c>
      <c r="E12" s="16">
        <f>((((E21+E15)+E27)+E33)+E13)</f>
        <v/>
      </c>
      <c r="F12" s="16">
        <f>((((F21+F15)+F27)+F33)+F13)</f>
        <v/>
      </c>
      <c r="G12" s="16">
        <f>((((G21+G15)+G27)+G33)+G13)</f>
        <v/>
      </c>
      <c r="H12" s="16">
        <f>((((H21+H15)+H27)+H33)+H13)</f>
        <v/>
      </c>
      <c r="I12" s="17">
        <f>((((I21+I15)+I27)+I33)+I13)</f>
        <v/>
      </c>
      <c r="J12" s="17">
        <f>((((J21+J15)+J27)+J33)+J13)</f>
        <v/>
      </c>
      <c r="K12" s="17">
        <f>((((K21+K15)+K27)+K33)+K13)</f>
        <v/>
      </c>
      <c r="L12" s="17">
        <f>((((L21+L15)+L27)+L33)+L13)</f>
        <v/>
      </c>
      <c r="M12" s="17">
        <f>((((M21+M15)+M27)+M33)+M13)</f>
        <v/>
      </c>
    </row>
    <row r="13">
      <c r="A13" s="22" t="inlineStr">
        <is>
          <t>영업이익 조정</t>
        </is>
      </c>
      <c r="B13" s="2" t="inlineStr">
        <is>
          <t>op_adj</t>
        </is>
      </c>
      <c r="C13" s="2" t="inlineStr">
        <is>
          <t>억원</t>
        </is>
      </c>
      <c r="D13" s="16">
        <f>IF((D43&gt;0),D14,0)</f>
        <v/>
      </c>
      <c r="E13" s="16">
        <f>IF((E43&gt;0),E14,0)</f>
        <v/>
      </c>
      <c r="F13" s="16">
        <f>IF((F43&gt;0),F14,0)</f>
        <v/>
      </c>
      <c r="G13" s="16">
        <f>IF((G43&gt;0),G14,0)</f>
        <v/>
      </c>
      <c r="H13" s="16">
        <f>IF((H43&gt;0),H14,0)</f>
        <v/>
      </c>
      <c r="I13" s="17">
        <f>IF((I43&gt;0),I14,0)</f>
        <v/>
      </c>
      <c r="J13" s="17">
        <f>IF((J43&gt;0),J14,0)</f>
        <v/>
      </c>
      <c r="K13" s="17">
        <f>IF((K43&gt;0),K14,0)</f>
        <v/>
      </c>
      <c r="L13" s="17">
        <f>IF((L43&gt;0),L14,0)</f>
        <v/>
      </c>
      <c r="M13" s="17">
        <f>IF((M43&gt;0),M14,0)</f>
        <v/>
      </c>
    </row>
    <row r="14">
      <c r="A14" s="25" t="inlineStr">
        <is>
          <t>영업이익 조정 실적</t>
        </is>
      </c>
      <c r="B14" s="2" t="inlineStr">
        <is>
          <t>op_adj_a</t>
        </is>
      </c>
      <c r="C14" s="2" t="inlineStr">
        <is>
          <t>억원</t>
        </is>
      </c>
      <c r="D14" s="19" t="n">
        <v>-11.81</v>
      </c>
      <c r="E14" s="19" t="n">
        <v>-187.75</v>
      </c>
      <c r="F14" s="19" t="n">
        <v>3215.49</v>
      </c>
      <c r="G14" s="19" t="n">
        <v>1505.69</v>
      </c>
      <c r="H14" s="19" t="n">
        <v>2429.24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2" t="inlineStr">
        <is>
          <t>DS 영업이익</t>
        </is>
      </c>
      <c r="B15" s="2" t="inlineStr">
        <is>
          <t>ds_op</t>
        </is>
      </c>
      <c r="C15" s="2" t="inlineStr">
        <is>
          <t>억원</t>
        </is>
      </c>
      <c r="D15" s="16">
        <f>IF((D43&gt;0),D16,(D18*D17))</f>
        <v/>
      </c>
      <c r="E15" s="16">
        <f>IF((E43&gt;0),E16,(E18*E17))</f>
        <v/>
      </c>
      <c r="F15" s="16">
        <f>IF((F43&gt;0),F16,(F18*F17))</f>
        <v/>
      </c>
      <c r="G15" s="16">
        <f>IF((G43&gt;0),G16,(G18*G17))</f>
        <v/>
      </c>
      <c r="H15" s="16">
        <f>IF((H43&gt;0),H16,(H18*H17))</f>
        <v/>
      </c>
      <c r="I15" s="17">
        <f>IF((I43&gt;0),I16,(I18*I17))</f>
        <v/>
      </c>
      <c r="J15" s="17">
        <f>IF((J43&gt;0),J16,(J18*J17))</f>
        <v/>
      </c>
      <c r="K15" s="17">
        <f>IF((K43&gt;0),K16,(K18*K17))</f>
        <v/>
      </c>
      <c r="L15" s="17">
        <f>IF((L43&gt;0),L16,(L18*L17))</f>
        <v/>
      </c>
      <c r="M15" s="17">
        <f>IF((M43&gt;0),M16,(M18*M17))</f>
        <v/>
      </c>
    </row>
    <row r="16">
      <c r="A16" s="2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19" t="n">
        <v>291920.21</v>
      </c>
      <c r="E16" s="19" t="n">
        <v>238158.1</v>
      </c>
      <c r="F16" s="19" t="n">
        <v>-148794.58</v>
      </c>
      <c r="G16" s="19" t="n">
        <v>150944.86</v>
      </c>
      <c r="H16" s="19" t="n">
        <v>248580.75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</row>
    <row r="17">
      <c r="A17" s="2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0.6899999999999999</v>
      </c>
      <c r="J17" s="24" t="n">
        <v>0.6</v>
      </c>
      <c r="K17" s="24" t="n">
        <v>0.47</v>
      </c>
      <c r="L17" s="24" t="n">
        <v>0.41</v>
      </c>
      <c r="M17" s="24" t="n">
        <v>0.4</v>
      </c>
    </row>
    <row r="18">
      <c r="A18" s="25" t="inlineStr">
        <is>
          <t>DS 매출</t>
        </is>
      </c>
      <c r="B18" s="2" t="inlineStr">
        <is>
          <t>ds_rev</t>
        </is>
      </c>
      <c r="C18" s="2" t="inlineStr">
        <is>
          <t>억원</t>
        </is>
      </c>
      <c r="D18" s="16">
        <f>IF((D43&gt;0),D19,(0*(1+D20)))</f>
        <v/>
      </c>
      <c r="E18" s="16">
        <f>IF((E43&gt;0),E19,(D18*(1+E20)))</f>
        <v/>
      </c>
      <c r="F18" s="16">
        <f>IF((F43&gt;0),F19,(E18*(1+F20)))</f>
        <v/>
      </c>
      <c r="G18" s="16">
        <f>IF((G43&gt;0),G19,(F18*(1+G20)))</f>
        <v/>
      </c>
      <c r="H18" s="16">
        <f>IF((H43&gt;0),H19,(G18*(1+H20)))</f>
        <v/>
      </c>
      <c r="I18" s="17">
        <f>IF((I43&gt;0),I19,(H18*(1+I20)))</f>
        <v/>
      </c>
      <c r="J18" s="17">
        <f>IF((J43&gt;0),J19,(I18*(1+J20)))</f>
        <v/>
      </c>
      <c r="K18" s="17">
        <f>IF((K43&gt;0),K19,(J18*(1+K20)))</f>
        <v/>
      </c>
      <c r="L18" s="17">
        <f>IF((L43&gt;0),L19,(K18*(1+L20)))</f>
        <v/>
      </c>
      <c r="M18" s="17">
        <f>IF((M43&gt;0),M19,(L18*(1+M20)))</f>
        <v/>
      </c>
    </row>
    <row r="19">
      <c r="A19" s="26" t="inlineStr">
        <is>
          <t>DS 매출 실적</t>
        </is>
      </c>
      <c r="B19" s="2" t="inlineStr">
        <is>
          <t>ds_rev_a</t>
        </is>
      </c>
      <c r="C19" s="2" t="inlineStr">
        <is>
          <t>억원</t>
        </is>
      </c>
      <c r="D19" s="19" t="n">
        <v>953871.73</v>
      </c>
      <c r="E19" s="19" t="n">
        <v>984552.7</v>
      </c>
      <c r="F19" s="19" t="n">
        <v>665944.71</v>
      </c>
      <c r="G19" s="19" t="n">
        <v>1110659.5</v>
      </c>
      <c r="H19" s="19" t="n">
        <v>1301281.62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6" t="inlineStr">
        <is>
          <t>DS 매출 성장률</t>
        </is>
      </c>
      <c r="B20" s="2" t="inlineStr">
        <is>
          <t>ds_g</t>
        </is>
      </c>
      <c r="C20" s="2" t="inlineStr">
        <is>
          <t>%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4" t="n">
        <v>2.57</v>
      </c>
      <c r="J20" s="24" t="n">
        <v>0.08</v>
      </c>
      <c r="K20" s="24" t="n">
        <v>-0.12</v>
      </c>
      <c r="L20" s="24" t="n">
        <v>-0.03</v>
      </c>
      <c r="M20" s="24" t="n">
        <v>0.05</v>
      </c>
    </row>
    <row r="21">
      <c r="A21" s="22" t="inlineStr">
        <is>
          <t>DX 영업이익</t>
        </is>
      </c>
      <c r="B21" s="2" t="inlineStr">
        <is>
          <t>dx_op</t>
        </is>
      </c>
      <c r="C21" s="2" t="inlineStr">
        <is>
          <t>억원</t>
        </is>
      </c>
      <c r="D21" s="16">
        <f>IF((D43&gt;0),D22,(D24*D23))</f>
        <v/>
      </c>
      <c r="E21" s="16">
        <f>IF((E43&gt;0),E22,(E24*E23))</f>
        <v/>
      </c>
      <c r="F21" s="16">
        <f>IF((F43&gt;0),F22,(F24*F23))</f>
        <v/>
      </c>
      <c r="G21" s="16">
        <f>IF((G43&gt;0),G22,(G24*G23))</f>
        <v/>
      </c>
      <c r="H21" s="16">
        <f>IF((H43&gt;0),H22,(H24*H23))</f>
        <v/>
      </c>
      <c r="I21" s="17">
        <f>IF((I43&gt;0),I22,(I24*I23))</f>
        <v/>
      </c>
      <c r="J21" s="17">
        <f>IF((J43&gt;0),J22,(J24*J23))</f>
        <v/>
      </c>
      <c r="K21" s="17">
        <f>IF((K43&gt;0),K22,(K24*K23))</f>
        <v/>
      </c>
      <c r="L21" s="17">
        <f>IF((L43&gt;0),L22,(L24*L23))</f>
        <v/>
      </c>
      <c r="M21" s="17">
        <f>IF((M43&gt;0),M22,(M24*M23))</f>
        <v/>
      </c>
    </row>
    <row r="22">
      <c r="A22" s="25" t="inlineStr">
        <is>
          <t>DX 영업이익 실적</t>
        </is>
      </c>
      <c r="B22" s="2" t="inlineStr">
        <is>
          <t>dx_op_a</t>
        </is>
      </c>
      <c r="C22" s="2" t="inlineStr">
        <is>
          <t>억원</t>
        </is>
      </c>
      <c r="D22" s="19" t="n">
        <v>173865.54</v>
      </c>
      <c r="E22" s="19" t="n">
        <v>127460.74</v>
      </c>
      <c r="F22" s="19" t="n">
        <v>143847.05</v>
      </c>
      <c r="G22" s="19" t="n">
        <v>124398.97</v>
      </c>
      <c r="H22" s="19" t="n">
        <v>128526.5</v>
      </c>
      <c r="I22" s="20" t="n">
        <v>0</v>
      </c>
      <c r="J22" s="20" t="n">
        <v>0</v>
      </c>
      <c r="K22" s="20" t="n">
        <v>0</v>
      </c>
      <c r="L22" s="20" t="n">
        <v>0</v>
      </c>
      <c r="M22" s="20" t="n">
        <v>0</v>
      </c>
    </row>
    <row r="23">
      <c r="A23" s="25" t="inlineStr">
        <is>
          <t>DX 영업이익률</t>
        </is>
      </c>
      <c r="B23" s="2" t="inlineStr">
        <is>
          <t>dx_opm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4" t="n">
        <v>0.021</v>
      </c>
      <c r="J23" s="24" t="n">
        <v>0.03</v>
      </c>
      <c r="K23" s="24" t="n">
        <v>0.035</v>
      </c>
      <c r="L23" s="24" t="n">
        <v>0.04</v>
      </c>
      <c r="M23" s="24" t="n">
        <v>0.04</v>
      </c>
    </row>
    <row r="24">
      <c r="A24" s="25" t="inlineStr">
        <is>
          <t>DX 매출</t>
        </is>
      </c>
      <c r="B24" s="2" t="inlineStr">
        <is>
          <t>dx_rev</t>
        </is>
      </c>
      <c r="C24" s="2" t="inlineStr">
        <is>
          <t>억원</t>
        </is>
      </c>
      <c r="D24" s="16">
        <f>IF((D43&gt;0),D25,(0*(1+D26)))</f>
        <v/>
      </c>
      <c r="E24" s="16">
        <f>IF((E43&gt;0),E25,(D24*(1+E26)))</f>
        <v/>
      </c>
      <c r="F24" s="16">
        <f>IF((F43&gt;0),F25,(E24*(1+F26)))</f>
        <v/>
      </c>
      <c r="G24" s="16">
        <f>IF((G43&gt;0),G25,(F24*(1+G26)))</f>
        <v/>
      </c>
      <c r="H24" s="16">
        <f>IF((H43&gt;0),H25,(G24*(1+H26)))</f>
        <v/>
      </c>
      <c r="I24" s="17">
        <f>IF((I43&gt;0),I25,(H24*(1+I26)))</f>
        <v/>
      </c>
      <c r="J24" s="17">
        <f>IF((J43&gt;0),J25,(I24*(1+J26)))</f>
        <v/>
      </c>
      <c r="K24" s="17">
        <f>IF((K43&gt;0),K25,(J24*(1+K26)))</f>
        <v/>
      </c>
      <c r="L24" s="17">
        <f>IF((L43&gt;0),L25,(K24*(1+L26)))</f>
        <v/>
      </c>
      <c r="M24" s="17">
        <f>IF((M43&gt;0),M25,(L24*(1+M26)))</f>
        <v/>
      </c>
    </row>
    <row r="25">
      <c r="A25" s="26" t="inlineStr">
        <is>
          <t>DX 매출 실적</t>
        </is>
      </c>
      <c r="B25" s="2" t="inlineStr">
        <is>
          <t>dx_rev_a</t>
        </is>
      </c>
      <c r="C25" s="2" t="inlineStr">
        <is>
          <t>억원</t>
        </is>
      </c>
      <c r="D25" s="19" t="n">
        <v>1662594.37</v>
      </c>
      <c r="E25" s="19" t="n">
        <v>1824897.2</v>
      </c>
      <c r="F25" s="19" t="n">
        <v>1699923.37</v>
      </c>
      <c r="G25" s="19" t="n">
        <v>1748876.83</v>
      </c>
      <c r="H25" s="19" t="n">
        <v>1879673.46</v>
      </c>
      <c r="I25" s="20" t="n">
        <v>0</v>
      </c>
      <c r="J25" s="20" t="n">
        <v>0</v>
      </c>
      <c r="K25" s="20" t="n">
        <v>0</v>
      </c>
      <c r="L25" s="20" t="n">
        <v>0</v>
      </c>
      <c r="M25" s="20" t="n">
        <v>0</v>
      </c>
    </row>
    <row r="26">
      <c r="A26" s="26" t="inlineStr">
        <is>
          <t>DX 매출 성장률</t>
        </is>
      </c>
      <c r="B26" s="2" t="inlineStr">
        <is>
          <t>dx_g</t>
        </is>
      </c>
      <c r="C26" s="2" t="inlineStr">
        <is>
          <t>%</t>
        </is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4" t="n">
        <v>0.09</v>
      </c>
      <c r="J26" s="24" t="n">
        <v>0.03</v>
      </c>
      <c r="K26" s="24" t="n">
        <v>0.02</v>
      </c>
      <c r="L26" s="24" t="n">
        <v>0.02</v>
      </c>
      <c r="M26" s="24" t="n">
        <v>0.02</v>
      </c>
    </row>
    <row r="27">
      <c r="A27" s="22" t="inlineStr">
        <is>
          <t>SDC 영업이익</t>
        </is>
      </c>
      <c r="B27" s="2" t="inlineStr">
        <is>
          <t>sdc_op</t>
        </is>
      </c>
      <c r="C27" s="2" t="inlineStr">
        <is>
          <t>억원</t>
        </is>
      </c>
      <c r="D27" s="16">
        <f>IF((D43&gt;0),D28,(D30*D29))</f>
        <v/>
      </c>
      <c r="E27" s="16">
        <f>IF((E43&gt;0),E28,(E30*E29))</f>
        <v/>
      </c>
      <c r="F27" s="16">
        <f>IF((F43&gt;0),F28,(F30*F29))</f>
        <v/>
      </c>
      <c r="G27" s="16">
        <f>IF((G43&gt;0),G28,(G30*G29))</f>
        <v/>
      </c>
      <c r="H27" s="16">
        <f>IF((H43&gt;0),H28,(H30*H29))</f>
        <v/>
      </c>
      <c r="I27" s="17">
        <f>IF((I43&gt;0),I28,(I30*I29))</f>
        <v/>
      </c>
      <c r="J27" s="17">
        <f>IF((J43&gt;0),J28,(J30*J29))</f>
        <v/>
      </c>
      <c r="K27" s="17">
        <f>IF((K43&gt;0),K28,(K30*K29))</f>
        <v/>
      </c>
      <c r="L27" s="17">
        <f>IF((L43&gt;0),L28,(L30*L29))</f>
        <v/>
      </c>
      <c r="M27" s="17">
        <f>IF((M43&gt;0),M28,(M30*M29))</f>
        <v/>
      </c>
    </row>
    <row r="28">
      <c r="A28" s="25" t="inlineStr">
        <is>
          <t>SDC 영업이익 실적</t>
        </is>
      </c>
      <c r="B28" s="2" t="inlineStr">
        <is>
          <t>sdc_op_a</t>
        </is>
      </c>
      <c r="C28" s="2" t="inlineStr">
        <is>
          <t>억원</t>
        </is>
      </c>
      <c r="D28" s="19" t="n">
        <v>44573.65</v>
      </c>
      <c r="E28" s="19" t="n">
        <v>59529.73</v>
      </c>
      <c r="F28" s="19" t="n">
        <v>55664.78</v>
      </c>
      <c r="G28" s="19" t="n">
        <v>37334.29</v>
      </c>
      <c r="H28" s="19" t="n">
        <v>41163.08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5" t="inlineStr">
        <is>
          <t>SDC 영업이익률</t>
        </is>
      </c>
      <c r="B29" s="2" t="inlineStr">
        <is>
          <t>sdc_opm</t>
        </is>
      </c>
      <c r="C29" s="2" t="inlineStr">
        <is>
          <t>%</t>
        </is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4" t="n">
        <v>0.074</v>
      </c>
      <c r="J29" s="24" t="n">
        <v>0.09</v>
      </c>
      <c r="K29" s="24" t="n">
        <v>0.1</v>
      </c>
      <c r="L29" s="24" t="n">
        <v>0.11</v>
      </c>
      <c r="M29" s="24" t="n">
        <v>0.11</v>
      </c>
    </row>
    <row r="30">
      <c r="A30" s="25" t="inlineStr">
        <is>
          <t>SDC 매출</t>
        </is>
      </c>
      <c r="B30" s="2" t="inlineStr">
        <is>
          <t>sdc_rev</t>
        </is>
      </c>
      <c r="C30" s="2" t="inlineStr">
        <is>
          <t>억원</t>
        </is>
      </c>
      <c r="D30" s="16">
        <f>IF((D43&gt;0),D31,(0*(1+D32)))</f>
        <v/>
      </c>
      <c r="E30" s="16">
        <f>IF((E43&gt;0),E31,(D30*(1+E32)))</f>
        <v/>
      </c>
      <c r="F30" s="16">
        <f>IF((F43&gt;0),F31,(E30*(1+F32)))</f>
        <v/>
      </c>
      <c r="G30" s="16">
        <f>IF((G43&gt;0),G31,(F30*(1+G32)))</f>
        <v/>
      </c>
      <c r="H30" s="16">
        <f>IF((H43&gt;0),H31,(G30*(1+H32)))</f>
        <v/>
      </c>
      <c r="I30" s="17">
        <f>IF((I43&gt;0),I31,(H30*(1+I32)))</f>
        <v/>
      </c>
      <c r="J30" s="17">
        <f>IF((J43&gt;0),J31,(I30*(1+J32)))</f>
        <v/>
      </c>
      <c r="K30" s="17">
        <f>IF((K43&gt;0),K31,(J30*(1+K32)))</f>
        <v/>
      </c>
      <c r="L30" s="17">
        <f>IF((L43&gt;0),L31,(K30*(1+L32)))</f>
        <v/>
      </c>
      <c r="M30" s="17">
        <f>IF((M43&gt;0),M31,(L30*(1+M32)))</f>
        <v/>
      </c>
    </row>
    <row r="31">
      <c r="A31" s="26" t="inlineStr">
        <is>
          <t>SDC 매출 실적</t>
        </is>
      </c>
      <c r="B31" s="2" t="inlineStr">
        <is>
          <t>sdc_rev_a</t>
        </is>
      </c>
      <c r="C31" s="2" t="inlineStr">
        <is>
          <t>억원</t>
        </is>
      </c>
      <c r="D31" s="19" t="n">
        <v>317125.26</v>
      </c>
      <c r="E31" s="19" t="n">
        <v>343826.19</v>
      </c>
      <c r="F31" s="19" t="n">
        <v>309753.73</v>
      </c>
      <c r="G31" s="19" t="n">
        <v>291578.2</v>
      </c>
      <c r="H31" s="19" t="n">
        <v>298416.61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</row>
    <row r="32">
      <c r="A32" s="26" t="inlineStr">
        <is>
          <t>SDC 매출 성장률</t>
        </is>
      </c>
      <c r="B32" s="2" t="inlineStr">
        <is>
          <t>sdc_g</t>
        </is>
      </c>
      <c r="C32" s="2" t="inlineStr">
        <is>
          <t>%</t>
        </is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4" t="n">
        <v>-0.03</v>
      </c>
      <c r="J32" s="24" t="n">
        <v>0.05</v>
      </c>
      <c r="K32" s="24" t="n">
        <v>0.03</v>
      </c>
      <c r="L32" s="24" t="n">
        <v>0.02</v>
      </c>
      <c r="M32" s="24" t="n">
        <v>0.02</v>
      </c>
    </row>
    <row r="33">
      <c r="A33" s="22" t="inlineStr">
        <is>
          <t>Harman 영업이익</t>
        </is>
      </c>
      <c r="B33" s="2" t="inlineStr">
        <is>
          <t>harman_op</t>
        </is>
      </c>
      <c r="C33" s="2" t="inlineStr">
        <is>
          <t>억원</t>
        </is>
      </c>
      <c r="D33" s="16">
        <f>IF((D43&gt;0),D34,(D36*D35))</f>
        <v/>
      </c>
      <c r="E33" s="16">
        <f>IF((E43&gt;0),E34,(E36*E35))</f>
        <v/>
      </c>
      <c r="F33" s="16">
        <f>IF((F43&gt;0),F34,(F36*F35))</f>
        <v/>
      </c>
      <c r="G33" s="16">
        <f>IF((G43&gt;0),G34,(G36*G35))</f>
        <v/>
      </c>
      <c r="H33" s="16">
        <f>IF((H43&gt;0),H34,(H36*H35))</f>
        <v/>
      </c>
      <c r="I33" s="17">
        <f>IF((I43&gt;0),I34,(I36*I35))</f>
        <v/>
      </c>
      <c r="J33" s="17">
        <f>IF((J43&gt;0),J34,(J36*J35))</f>
        <v/>
      </c>
      <c r="K33" s="17">
        <f>IF((K43&gt;0),K34,(K36*K35))</f>
        <v/>
      </c>
      <c r="L33" s="17">
        <f>IF((L43&gt;0),L34,(L36*L35))</f>
        <v/>
      </c>
      <c r="M33" s="17">
        <f>IF((M43&gt;0),M34,(M36*M35))</f>
        <v/>
      </c>
    </row>
    <row r="34">
      <c r="A34" s="25" t="inlineStr">
        <is>
          <t>Harman 영업이익 실적</t>
        </is>
      </c>
      <c r="B34" s="2" t="inlineStr">
        <is>
          <t>harman_op_a</t>
        </is>
      </c>
      <c r="C34" s="2" t="inlineStr">
        <is>
          <t>억원</t>
        </is>
      </c>
      <c r="D34" s="19" t="n">
        <v>5990.97</v>
      </c>
      <c r="E34" s="19" t="n">
        <v>8805.48</v>
      </c>
      <c r="F34" s="19" t="n">
        <v>11737.02</v>
      </c>
      <c r="G34" s="19" t="n">
        <v>13075.8</v>
      </c>
      <c r="H34" s="19" t="n">
        <v>15310.94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5" t="inlineStr">
        <is>
          <t>Harman 영업이익률</t>
        </is>
      </c>
      <c r="B35" s="2" t="inlineStr">
        <is>
          <t>harman_opm</t>
        </is>
      </c>
      <c r="C35" s="2" t="inlineStr">
        <is>
          <t>%</t>
        </is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4" t="n">
        <v>0.076</v>
      </c>
      <c r="J35" s="24" t="n">
        <v>0.08500000000000001</v>
      </c>
      <c r="K35" s="24" t="n">
        <v>0.09</v>
      </c>
      <c r="L35" s="24" t="n">
        <v>0.09</v>
      </c>
      <c r="M35" s="24" t="n">
        <v>0.09</v>
      </c>
    </row>
    <row r="36">
      <c r="A36" s="25" t="inlineStr">
        <is>
          <t>Harman 매출</t>
        </is>
      </c>
      <c r="B36" s="2" t="inlineStr">
        <is>
          <t>harman_rev</t>
        </is>
      </c>
      <c r="C36" s="2" t="inlineStr">
        <is>
          <t>억원</t>
        </is>
      </c>
      <c r="D36" s="16">
        <f>IF((D43&gt;0),D37,(0*(1+D38)))</f>
        <v/>
      </c>
      <c r="E36" s="16">
        <f>IF((E43&gt;0),E37,(D36*(1+E38)))</f>
        <v/>
      </c>
      <c r="F36" s="16">
        <f>IF((F43&gt;0),F37,(E36*(1+F38)))</f>
        <v/>
      </c>
      <c r="G36" s="16">
        <f>IF((G43&gt;0),G37,(F36*(1+G38)))</f>
        <v/>
      </c>
      <c r="H36" s="16">
        <f>IF((H43&gt;0),H37,(G36*(1+H38)))</f>
        <v/>
      </c>
      <c r="I36" s="17">
        <f>IF((I43&gt;0),I37,(H36*(1+I38)))</f>
        <v/>
      </c>
      <c r="J36" s="17">
        <f>IF((J43&gt;0),J37,(I36*(1+J38)))</f>
        <v/>
      </c>
      <c r="K36" s="17">
        <f>IF((K43&gt;0),K37,(J36*(1+K38)))</f>
        <v/>
      </c>
      <c r="L36" s="17">
        <f>IF((L43&gt;0),L37,(K36*(1+L38)))</f>
        <v/>
      </c>
      <c r="M36" s="17">
        <f>IF((M43&gt;0),M37,(L36*(1+M38)))</f>
        <v/>
      </c>
    </row>
    <row r="37">
      <c r="A37" s="26" t="inlineStr">
        <is>
          <t>Harman 매출 실적</t>
        </is>
      </c>
      <c r="B37" s="2" t="inlineStr">
        <is>
          <t>harman_rev_a</t>
        </is>
      </c>
      <c r="C37" s="2" t="inlineStr">
        <is>
          <t>억원</t>
        </is>
      </c>
      <c r="D37" s="19" t="n">
        <v>100399.22</v>
      </c>
      <c r="E37" s="19" t="n">
        <v>132136.94</v>
      </c>
      <c r="F37" s="19" t="n">
        <v>143884.54</v>
      </c>
      <c r="G37" s="19" t="n">
        <v>142749.3</v>
      </c>
      <c r="H37" s="19" t="n">
        <v>157833.25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6" t="inlineStr">
        <is>
          <t>Harman 매출 성장률</t>
        </is>
      </c>
      <c r="B38" s="2" t="inlineStr">
        <is>
          <t>harman_g</t>
        </is>
      </c>
      <c r="C38" s="2" t="inlineStr">
        <is>
          <t>%</t>
        </is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4" t="n">
        <v>0.09</v>
      </c>
      <c r="J38" s="24" t="n">
        <v>0.06</v>
      </c>
      <c r="K38" s="24" t="n">
        <v>0.05</v>
      </c>
      <c r="L38" s="24" t="n">
        <v>0.04</v>
      </c>
      <c r="M38" s="24" t="n">
        <v>0.03</v>
      </c>
    </row>
    <row r="39">
      <c r="A39" s="22" t="inlineStr">
        <is>
          <t>매출</t>
        </is>
      </c>
      <c r="B39" s="2" t="inlineStr">
        <is>
          <t>total_revenue</t>
        </is>
      </c>
      <c r="C39" s="2" t="inlineStr">
        <is>
          <t>억원</t>
        </is>
      </c>
      <c r="D39" s="16">
        <f>((((D24+D18)+D30)+D36)+D40)</f>
        <v/>
      </c>
      <c r="E39" s="16">
        <f>((((E24+E18)+E30)+E36)+E40)</f>
        <v/>
      </c>
      <c r="F39" s="16">
        <f>((((F24+F18)+F30)+F36)+F40)</f>
        <v/>
      </c>
      <c r="G39" s="16">
        <f>((((G24+G18)+G30)+G36)+G40)</f>
        <v/>
      </c>
      <c r="H39" s="16">
        <f>((((H24+H18)+H30)+H36)+H40)</f>
        <v/>
      </c>
      <c r="I39" s="17">
        <f>((((I24+I18)+I30)+I36)+I40)</f>
        <v/>
      </c>
      <c r="J39" s="17">
        <f>((((J24+J18)+J30)+J36)+J40)</f>
        <v/>
      </c>
      <c r="K39" s="17">
        <f>((((K24+K18)+K30)+K36)+K40)</f>
        <v/>
      </c>
      <c r="L39" s="17">
        <f>((((L24+L18)+L30)+L36)+L40)</f>
        <v/>
      </c>
      <c r="M39" s="17">
        <f>((((M24+M18)+M30)+M36)+M40)</f>
        <v/>
      </c>
    </row>
    <row r="40">
      <c r="A40" s="25" t="inlineStr">
        <is>
          <t>내부거래 조정</t>
        </is>
      </c>
      <c r="B40" s="2" t="inlineStr">
        <is>
          <t>rev_adj</t>
        </is>
      </c>
      <c r="C40" s="2" t="inlineStr">
        <is>
          <t>억원</t>
        </is>
      </c>
      <c r="D40" s="16">
        <f>IF((D43&gt;0),D41,((((D24+D18)+D30)+D36)*D42))</f>
        <v/>
      </c>
      <c r="E40" s="16">
        <f>IF((E43&gt;0),E41,((((E24+E18)+E30)+E36)*E42))</f>
        <v/>
      </c>
      <c r="F40" s="16">
        <f>IF((F43&gt;0),F41,((((F24+F18)+F30)+F36)*F42))</f>
        <v/>
      </c>
      <c r="G40" s="16">
        <f>IF((G43&gt;0),G41,((((G24+G18)+G30)+G36)*G42))</f>
        <v/>
      </c>
      <c r="H40" s="16">
        <f>IF((H43&gt;0),H41,((((H24+H18)+H30)+H36)*H42))</f>
        <v/>
      </c>
      <c r="I40" s="17">
        <f>IF((I43&gt;0),I41,((((I24+I18)+I30)+I36)*I42))</f>
        <v/>
      </c>
      <c r="J40" s="17">
        <f>IF((J43&gt;0),J41,((((J24+J18)+J30)+J36)*J42))</f>
        <v/>
      </c>
      <c r="K40" s="17">
        <f>IF((K43&gt;0),K41,((((K24+K18)+K30)+K36)*K42))</f>
        <v/>
      </c>
      <c r="L40" s="17">
        <f>IF((L43&gt;0),L41,((((L24+L18)+L30)+L36)*L42))</f>
        <v/>
      </c>
      <c r="M40" s="17">
        <f>IF((M43&gt;0),M41,((((M24+M18)+M30)+M36)*M42))</f>
        <v/>
      </c>
    </row>
    <row r="41">
      <c r="A41" s="26" t="inlineStr">
        <is>
          <t>조정 실적</t>
        </is>
      </c>
      <c r="B41" s="2" t="inlineStr">
        <is>
          <t>rev_adj_a</t>
        </is>
      </c>
      <c r="C41" s="2" t="inlineStr">
        <is>
          <t>억원</t>
        </is>
      </c>
      <c r="D41" s="19" t="n">
        <v>-237942.59</v>
      </c>
      <c r="E41" s="19" t="n">
        <v>-263099.43</v>
      </c>
      <c r="F41" s="19" t="n">
        <v>-230151.41</v>
      </c>
      <c r="G41" s="19" t="n">
        <v>-285154.8</v>
      </c>
      <c r="H41" s="19" t="n">
        <v>-301145.56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조정률</t>
        </is>
      </c>
      <c r="B42" s="2" t="inlineStr">
        <is>
          <t>adj_ratio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-0.082</v>
      </c>
      <c r="J42" s="24" t="n">
        <v>-0.082</v>
      </c>
      <c r="K42" s="24" t="n">
        <v>-0.082</v>
      </c>
      <c r="L42" s="24" t="n">
        <v>-0.082</v>
      </c>
      <c r="M42" s="24" t="n">
        <v>-0.082</v>
      </c>
    </row>
    <row r="43">
      <c r="A43" s="22" t="inlineStr">
        <is>
          <t>실적 구간 표시</t>
        </is>
      </c>
      <c r="B43" s="2" t="inlineStr">
        <is>
          <t>hist</t>
        </is>
      </c>
      <c r="C43" s="2" t="inlineStr"/>
      <c r="D43" s="19" t="n">
        <v>1</v>
      </c>
      <c r="E43" s="19" t="n">
        <v>1</v>
      </c>
      <c r="F43" s="19" t="n">
        <v>1</v>
      </c>
      <c r="G43" s="19" t="n">
        <v>1</v>
      </c>
      <c r="H43" s="19" t="n">
        <v>1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</row>
    <row r="44">
      <c r="A44" s="15" t="inlineStr">
        <is>
          <t>순차입금 (음수 = 순현금)</t>
        </is>
      </c>
      <c r="B44" s="2" t="inlineStr">
        <is>
          <t>net_debt</t>
        </is>
      </c>
      <c r="C44" s="2" t="inlineStr">
        <is>
          <t>억원</t>
        </is>
      </c>
      <c r="D44" s="19" t="n">
        <v>-1023482.52</v>
      </c>
      <c r="E44" s="19" t="n">
        <v>-1044503.54</v>
      </c>
      <c r="F44" s="19" t="n">
        <v>-790858.73</v>
      </c>
      <c r="G44" s="19" t="n">
        <v>-932847.29</v>
      </c>
      <c r="H44" s="19" t="n">
        <v>-1005822.6</v>
      </c>
      <c r="I44" s="20" t="n">
        <v>-1005822.6</v>
      </c>
      <c r="J44" s="20" t="n">
        <v>-1005822.6</v>
      </c>
      <c r="K44" s="20" t="n">
        <v>-1005822.6</v>
      </c>
      <c r="L44" s="20" t="n">
        <v>-1005822.6</v>
      </c>
      <c r="M4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'=(I6-I44)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7" t="inlineStr">
        <is>
          <t>IF(hist &gt; 0, da_actual, PREV(da_total) * (1 + da_g))</t>
        </is>
      </c>
      <c r="E8" s="11" t="inlineStr">
        <is>
          <t>'=IF((I43&gt;0),I10,(H9*(1+I11)))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7" t="inlineStr">
        <is>
          <t>dx_op + ds_op + sdc_op + harman_op + op_adj</t>
        </is>
      </c>
      <c r="E9" s="11" t="inlineStr">
        <is>
          <t>'=((((I21+I15)+I27)+I33)+I13)</t>
        </is>
      </c>
    </row>
    <row r="10">
      <c r="A10" s="2" t="inlineStr">
        <is>
          <t>op_adj</t>
        </is>
      </c>
      <c r="B10" s="5" t="inlineStr">
        <is>
          <t>영업이익 조정</t>
        </is>
      </c>
      <c r="C10" s="2" t="n">
        <v>13</v>
      </c>
      <c r="D10" s="27" t="inlineStr">
        <is>
          <t>IF(hist &gt; 0, op_adj_a, 0)</t>
        </is>
      </c>
      <c r="E10" s="11" t="inlineStr">
        <is>
          <t>'=IF((I43&gt;0),I14,0)</t>
        </is>
      </c>
    </row>
    <row r="11">
      <c r="A11" s="2" t="inlineStr">
        <is>
          <t>ds_op</t>
        </is>
      </c>
      <c r="B11" s="5" t="inlineStr">
        <is>
          <t>DS 영업이익</t>
        </is>
      </c>
      <c r="C11" s="2" t="n">
        <v>15</v>
      </c>
      <c r="D11" s="27" t="inlineStr">
        <is>
          <t>IF(hist &gt; 0, ds_op_a, ds_rev * ds_opm)</t>
        </is>
      </c>
      <c r="E11" s="11" t="inlineStr">
        <is>
          <t>'=IF((I43&gt;0),I16,(I18*I17))</t>
        </is>
      </c>
    </row>
    <row r="12">
      <c r="A12" s="2" t="inlineStr">
        <is>
          <t>ds_rev</t>
        </is>
      </c>
      <c r="B12" s="5" t="inlineStr">
        <is>
          <t>DS 매출</t>
        </is>
      </c>
      <c r="C12" s="2" t="n">
        <v>18</v>
      </c>
      <c r="D12" s="27" t="inlineStr">
        <is>
          <t>IF(hist &gt; 0, ds_rev_a, PREV(ds_rev) * (1 + ds_g))</t>
        </is>
      </c>
      <c r="E12" s="11" t="inlineStr">
        <is>
          <t>'=IF((I43&gt;0),I19,(H18*(1+I20)))</t>
        </is>
      </c>
    </row>
    <row r="13">
      <c r="A13" s="2" t="inlineStr">
        <is>
          <t>dx_op</t>
        </is>
      </c>
      <c r="B13" s="5" t="inlineStr">
        <is>
          <t>DX 영업이익</t>
        </is>
      </c>
      <c r="C13" s="2" t="n">
        <v>21</v>
      </c>
      <c r="D13" s="27" t="inlineStr">
        <is>
          <t>IF(hist &gt; 0, dx_op_a, dx_rev * dx_opm)</t>
        </is>
      </c>
      <c r="E13" s="11" t="inlineStr">
        <is>
          <t>'=IF((I43&gt;0),I22,(I24*I23))</t>
        </is>
      </c>
    </row>
    <row r="14">
      <c r="A14" s="2" t="inlineStr">
        <is>
          <t>dx_rev</t>
        </is>
      </c>
      <c r="B14" s="5" t="inlineStr">
        <is>
          <t>DX 매출</t>
        </is>
      </c>
      <c r="C14" s="2" t="n">
        <v>24</v>
      </c>
      <c r="D14" s="27" t="inlineStr">
        <is>
          <t>IF(hist &gt; 0, dx_rev_a, PREV(dx_rev) * (1 + dx_g))</t>
        </is>
      </c>
      <c r="E14" s="11" t="inlineStr">
        <is>
          <t>'=IF((I43&gt;0),I25,(H24*(1+I26)))</t>
        </is>
      </c>
    </row>
    <row r="15">
      <c r="A15" s="2" t="inlineStr">
        <is>
          <t>sdc_op</t>
        </is>
      </c>
      <c r="B15" s="5" t="inlineStr">
        <is>
          <t>SDC 영업이익</t>
        </is>
      </c>
      <c r="C15" s="2" t="n">
        <v>27</v>
      </c>
      <c r="D15" s="27" t="inlineStr">
        <is>
          <t>IF(hist &gt; 0, sdc_op_a, sdc_rev * sdc_opm)</t>
        </is>
      </c>
      <c r="E15" s="11" t="inlineStr">
        <is>
          <t>'=IF((I43&gt;0),I28,(I30*I29))</t>
        </is>
      </c>
    </row>
    <row r="16">
      <c r="A16" s="2" t="inlineStr">
        <is>
          <t>sdc_rev</t>
        </is>
      </c>
      <c r="B16" s="5" t="inlineStr">
        <is>
          <t>SDC 매출</t>
        </is>
      </c>
      <c r="C16" s="2" t="n">
        <v>30</v>
      </c>
      <c r="D16" s="27" t="inlineStr">
        <is>
          <t>IF(hist &gt; 0, sdc_rev_a, PREV(sdc_rev) * (1 + sdc_g))</t>
        </is>
      </c>
      <c r="E16" s="11" t="inlineStr">
        <is>
          <t>'=IF((I43&gt;0),I31,(H30*(1+I32)))</t>
        </is>
      </c>
    </row>
    <row r="17">
      <c r="A17" s="2" t="inlineStr">
        <is>
          <t>harman_op</t>
        </is>
      </c>
      <c r="B17" s="5" t="inlineStr">
        <is>
          <t>Harman 영업이익</t>
        </is>
      </c>
      <c r="C17" s="2" t="n">
        <v>33</v>
      </c>
      <c r="D17" s="27" t="inlineStr">
        <is>
          <t>IF(hist &gt; 0, harman_op_a, harman_rev * harman_opm)</t>
        </is>
      </c>
      <c r="E17" s="11" t="inlineStr">
        <is>
          <t>'=IF((I43&gt;0),I34,(I36*I35))</t>
        </is>
      </c>
    </row>
    <row r="18">
      <c r="A18" s="2" t="inlineStr">
        <is>
          <t>harman_rev</t>
        </is>
      </c>
      <c r="B18" s="5" t="inlineStr">
        <is>
          <t>Harman 매출</t>
        </is>
      </c>
      <c r="C18" s="2" t="n">
        <v>36</v>
      </c>
      <c r="D18" s="27" t="inlineStr">
        <is>
          <t>IF(hist &gt; 0, harman_rev_a, PREV(harman_rev) * (1 + harman_g))</t>
        </is>
      </c>
      <c r="E18" s="11" t="inlineStr">
        <is>
          <t>'=IF((I43&gt;0),I37,(H36*(1+I38)))</t>
        </is>
      </c>
    </row>
    <row r="19">
      <c r="A19" s="2" t="inlineStr">
        <is>
          <t>total_revenue</t>
        </is>
      </c>
      <c r="B19" s="5" t="inlineStr">
        <is>
          <t>매출</t>
        </is>
      </c>
      <c r="C19" s="2" t="n">
        <v>39</v>
      </c>
      <c r="D19" s="27" t="inlineStr">
        <is>
          <t>dx_rev + ds_rev + sdc_rev + harman_rev + rev_adj</t>
        </is>
      </c>
      <c r="E19" s="11" t="inlineStr">
        <is>
          <t>'=((((I24+I18)+I30)+I36)+I40)</t>
        </is>
      </c>
    </row>
    <row r="20">
      <c r="A20" s="2" t="inlineStr">
        <is>
          <t>rev_adj</t>
        </is>
      </c>
      <c r="B20" s="5" t="inlineStr">
        <is>
          <t>내부거래 조정</t>
        </is>
      </c>
      <c r="C20" s="2" t="n">
        <v>40</v>
      </c>
      <c r="D20" s="27" t="inlineStr">
        <is>
          <t>IF(hist &gt; 0, rev_adj_a, (dx_rev + ds_rev + sdc_rev + harman_rev) * adj_ratio)</t>
        </is>
      </c>
      <c r="E20" s="11" t="inlineStr">
        <is>
          <t>'=IF((I43&gt;0),I41,((((I24+I18)+I30)+I36)*I42))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0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1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1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0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op_adj</t>
        </is>
      </c>
      <c r="B12" s="31" t="inlineStr">
        <is>
          <t>영업이익 조정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op_adj_a</t>
        </is>
      </c>
      <c r="B13" s="32" t="inlineStr">
        <is>
          <t>영업이익 조정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ds_op</t>
        </is>
      </c>
      <c r="B14" s="31" t="inlineStr">
        <is>
          <t>DS 영업이익</t>
        </is>
      </c>
      <c r="C14" t="n">
        <v>4</v>
      </c>
      <c r="D14" t="inlineStr">
        <is>
          <t>computed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ds_op_a</t>
        </is>
      </c>
      <c r="B15" s="32" t="inlineStr">
        <is>
          <t>DS 영업이익 실적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ds_opm</t>
        </is>
      </c>
      <c r="B16" s="32" t="inlineStr">
        <is>
          <t>DS 영업이익률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ds_rev</t>
        </is>
      </c>
      <c r="B17" s="32" t="inlineStr">
        <is>
          <t>DS 매출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ds_rev_a</t>
        </is>
      </c>
      <c r="B18" s="33" t="inlineStr">
        <is>
          <t>DS 매출 실적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억원</t>
        </is>
      </c>
    </row>
    <row r="19">
      <c r="A19" s="2" t="inlineStr">
        <is>
          <t>ds_g</t>
        </is>
      </c>
      <c r="B19" s="33" t="inlineStr">
        <is>
          <t>DS 매출 성장률</t>
        </is>
      </c>
      <c r="C19" t="n">
        <v>6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dx_op</t>
        </is>
      </c>
      <c r="B20" s="31" t="inlineStr">
        <is>
          <t>DX 영업이익</t>
        </is>
      </c>
      <c r="C20" t="n">
        <v>4</v>
      </c>
      <c r="D20" t="inlineStr">
        <is>
          <t>computed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dx_op_a</t>
        </is>
      </c>
      <c r="B21" s="32" t="inlineStr">
        <is>
          <t>DX 영업이익 실적</t>
        </is>
      </c>
      <c r="C21" t="n">
        <v>5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dx_opm</t>
        </is>
      </c>
      <c r="B22" s="32" t="inlineStr">
        <is>
          <t>DX 영업이익률</t>
        </is>
      </c>
      <c r="C22" t="n">
        <v>5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dx_rev</t>
        </is>
      </c>
      <c r="B23" s="32" t="inlineStr">
        <is>
          <t>DX 매출</t>
        </is>
      </c>
      <c r="C23" t="n">
        <v>5</v>
      </c>
      <c r="D23" t="inlineStr">
        <is>
          <t>computed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dx_rev_a</t>
        </is>
      </c>
      <c r="B24" s="33" t="inlineStr">
        <is>
          <t>DX 매출 실적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dx_g</t>
        </is>
      </c>
      <c r="B25" s="33" t="inlineStr">
        <is>
          <t>DX 매출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sdc_op</t>
        </is>
      </c>
      <c r="B26" s="31" t="inlineStr">
        <is>
          <t>SDC 영업이익</t>
        </is>
      </c>
      <c r="C26" t="n">
        <v>4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sdc_op_a</t>
        </is>
      </c>
      <c r="B27" s="32" t="inlineStr">
        <is>
          <t>SDC 영업이익 실적</t>
        </is>
      </c>
      <c r="C27" t="n">
        <v>5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sdc_opm</t>
        </is>
      </c>
      <c r="B28" s="32" t="inlineStr">
        <is>
          <t>SDC 영업이익률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sdc_rev</t>
        </is>
      </c>
      <c r="B29" s="32" t="inlineStr">
        <is>
          <t>SDC 매출</t>
        </is>
      </c>
      <c r="C29" t="n">
        <v>5</v>
      </c>
      <c r="D29" t="inlineStr">
        <is>
          <t>computed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sdc_rev_a</t>
        </is>
      </c>
      <c r="B30" s="33" t="inlineStr">
        <is>
          <t>SDC 매출 실적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sdc_g</t>
        </is>
      </c>
      <c r="B31" s="33" t="inlineStr">
        <is>
          <t>SDC 매출 성장률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%</t>
        </is>
      </c>
    </row>
    <row r="32">
      <c r="A32" s="2" t="inlineStr">
        <is>
          <t>harman_op</t>
        </is>
      </c>
      <c r="B32" s="31" t="inlineStr">
        <is>
          <t>Harman 영업이익</t>
        </is>
      </c>
      <c r="C32" t="n">
        <v>4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harman_op_a</t>
        </is>
      </c>
      <c r="B33" s="32" t="inlineStr">
        <is>
          <t>Harman 영업이익 실적</t>
        </is>
      </c>
      <c r="C33" t="n">
        <v>5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harman_opm</t>
        </is>
      </c>
      <c r="B34" s="32" t="inlineStr">
        <is>
          <t>Harman 영업이익률</t>
        </is>
      </c>
      <c r="C34" t="n">
        <v>5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harman_rev</t>
        </is>
      </c>
      <c r="B35" s="32" t="inlineStr">
        <is>
          <t>Harman 매출</t>
        </is>
      </c>
      <c r="C35" t="n">
        <v>5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harman_rev_a</t>
        </is>
      </c>
      <c r="B36" s="33" t="inlineStr">
        <is>
          <t>Harman 매출 실적</t>
        </is>
      </c>
      <c r="C36" t="n">
        <v>6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harman_g</t>
        </is>
      </c>
      <c r="B37" s="33" t="inlineStr">
        <is>
          <t>Harman 매출 성장률</t>
        </is>
      </c>
      <c r="C37" t="n">
        <v>6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total_revenue</t>
        </is>
      </c>
      <c r="B38" s="31" t="inlineStr">
        <is>
          <t>매출</t>
        </is>
      </c>
      <c r="C38" t="n">
        <v>4</v>
      </c>
      <c r="D38" t="inlineStr">
        <is>
          <t>computed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rev_adj</t>
        </is>
      </c>
      <c r="B39" s="32" t="inlineStr">
        <is>
          <t>내부거래 조정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rev_adj_a</t>
        </is>
      </c>
      <c r="B40" s="33" t="inlineStr">
        <is>
          <t>조정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adj_ratio</t>
        </is>
      </c>
      <c r="B41" s="33" t="inlineStr">
        <is>
          <t>조정률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hist</t>
        </is>
      </c>
      <c r="B42" s="31" t="inlineStr">
        <is>
          <t>실적 구간 표시</t>
        </is>
      </c>
      <c r="C42" t="n">
        <v>4</v>
      </c>
      <c r="D42" t="inlineStr">
        <is>
          <t>input</t>
        </is>
      </c>
      <c r="E42" t="inlineStr"/>
      <c r="F42" t="n">
        <v>43</v>
      </c>
      <c r="G42" t="inlineStr"/>
    </row>
    <row r="43">
      <c r="A43" s="2" t="inlineStr">
        <is>
          <t>net_debt</t>
        </is>
      </c>
      <c r="B43" s="28" t="inlineStr">
        <is>
          <t>순차입금 (음수 = 순현금)</t>
        </is>
      </c>
      <c r="C43" t="n">
        <v>1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4">
        <f>ROUND(Model!D8-(Model!D9+Model!D12),6)</f>
        <v/>
      </c>
      <c r="E5" s="34">
        <f>ROUND(Model!E8-(Model!E9+Model!E12),6)</f>
        <v/>
      </c>
      <c r="F5" s="34">
        <f>ROUND(Model!F8-(Model!F9+Model!F12),6)</f>
        <v/>
      </c>
      <c r="G5" s="34">
        <f>ROUND(Model!G8-(Model!G9+Model!G12),6)</f>
        <v/>
      </c>
      <c r="H5" s="34">
        <f>ROUND(Model!H8-(Model!H9+Model!H12),6)</f>
        <v/>
      </c>
      <c r="I5" s="34">
        <f>ROUND(Model!I8-(Model!I9+Model!I12),6)</f>
        <v/>
      </c>
      <c r="J5" s="34">
        <f>ROUND(Model!J8-(Model!J9+Model!J12),6)</f>
        <v/>
      </c>
      <c r="K5" s="34">
        <f>ROUND(Model!K8-(Model!K9+Model!K12),6)</f>
        <v/>
      </c>
      <c r="L5" s="34">
        <f>ROUND(Model!L8-(Model!L9+Model!L12),6)</f>
        <v/>
      </c>
      <c r="M5" s="34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cac0d58e043dba7a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40</v>
      </c>
    </row>
    <row r="8">
      <c r="A8" s="4" t="inlineStr">
        <is>
          <t>입력 노드 수</t>
        </is>
      </c>
      <c r="B8" t="n">
        <v>24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
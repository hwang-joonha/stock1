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trol" sheetId="2" state="visible" r:id="rId2"/>
    <sheet name="Assumptions" sheetId="3" state="visible" r:id="rId3"/>
    <sheet name="Model" sheetId="4" state="visible" r:id="rId4"/>
    <sheet name="Formula Audit" sheetId="5" state="visible" r:id="rId5"/>
    <sheet name="Structure" sheetId="6" state="visible" r:id="rId6"/>
    <sheet name="Checks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_-;-* #,##0_-;_-* &quot;-&quot;_-;_-@_-"/>
    <numFmt numFmtId="165" formatCode="0.0%"/>
    <numFmt numFmtId="166" formatCode="0.000000"/>
  </numFmts>
  <fonts count="7">
    <font>
      <name val="Calibri"/>
      <family val="2"/>
      <color theme="1"/>
      <sz val="11"/>
      <scheme val="minor"/>
    </font>
    <font>
      <name val="Calibri"/>
      <b val="1"/>
      <color rgb="001E2185"/>
      <sz val="13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C1C1C"/>
      <sz val="10"/>
    </font>
    <font>
      <name val="Calibri"/>
      <color rgb="001C1C1C"/>
      <sz val="10"/>
    </font>
    <font>
      <name val="Calibri"/>
      <color rgb="001F4E9C"/>
      <sz val="10"/>
    </font>
  </fonts>
  <fills count="6">
    <fill>
      <patternFill/>
    </fill>
    <fill>
      <patternFill patternType="gray125"/>
    </fill>
    <fill>
      <patternFill patternType="solid">
        <fgColor rgb="001E2185"/>
      </patternFill>
    </fill>
    <fill>
      <patternFill patternType="solid">
        <fgColor rgb="00EFEFF2"/>
      </patternFill>
    </fill>
    <fill>
      <patternFill patternType="solid">
        <fgColor rgb="00EDF3FF"/>
      </patternFill>
    </fill>
    <fill>
      <patternFill patternType="solid">
        <fgColor rgb="00DFE8FF"/>
      </patternFill>
    </fill>
  </fills>
  <borders count="2">
    <border>
      <left/>
      <right/>
      <top/>
      <bottom/>
      <diagonal/>
    </border>
    <border>
      <bottom style="thin">
        <color rgb="00D8DCE3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6" fillId="3" borderId="0" pivotButton="0" quotePrefix="0" xfId="0"/>
    <xf numFmtId="164" fontId="6" fillId="0" borderId="0" pivotButton="0" quotePrefix="0" xfId="0"/>
    <xf numFmtId="0" fontId="2" fillId="0" borderId="0" applyAlignment="1" pivotButton="0" quotePrefix="0" xfId="0">
      <alignment vertical="top" wrapText="1"/>
    </xf>
    <xf numFmtId="165" fontId="6" fillId="3" borderId="0" pivotButton="0" quotePrefix="0" xfId="0"/>
    <xf numFmtId="165" fontId="6" fillId="0" borderId="0" pivotButton="0" quotePrefix="0" xfId="0"/>
    <xf numFmtId="164" fontId="5" fillId="5" borderId="1" pivotButton="0" quotePrefix="0" xfId="0"/>
    <xf numFmtId="0" fontId="4" fillId="0" borderId="0" applyAlignment="1" pivotButton="0" quotePrefix="0" xfId="0">
      <alignment indent="1"/>
    </xf>
    <xf numFmtId="164" fontId="5" fillId="3" borderId="1" pivotButton="0" quotePrefix="0" xfId="0"/>
    <xf numFmtId="164" fontId="5" fillId="0" borderId="1" pivotButton="0" quotePrefix="0" xfId="0"/>
    <xf numFmtId="0" fontId="5" fillId="0" borderId="0" applyAlignment="1" pivotButton="0" quotePrefix="0" xfId="0">
      <alignment indent="2"/>
    </xf>
    <xf numFmtId="164" fontId="6" fillId="3" borderId="1" pivotButton="0" quotePrefix="0" xfId="0"/>
    <xf numFmtId="164" fontId="6" fillId="0" borderId="1" pivotButton="0" quotePrefix="0" xfId="0"/>
    <xf numFmtId="0" fontId="5" fillId="0" borderId="0" applyAlignment="1" pivotButton="0" quotePrefix="0" xfId="0">
      <alignment indent="3"/>
    </xf>
    <xf numFmtId="0" fontId="5" fillId="0" borderId="0" applyAlignment="1" pivotButton="0" quotePrefix="0" xfId="0">
      <alignment indent="4"/>
    </xf>
    <xf numFmtId="165" fontId="6" fillId="3" borderId="1" pivotButton="0" quotePrefix="0" xfId="0"/>
    <xf numFmtId="165" fontId="6" fillId="0" borderId="1" pivotButton="0" quotePrefix="0" xfId="0"/>
    <xf numFmtId="0" fontId="5" fillId="0" borderId="0" applyAlignment="1" pivotButton="0" quotePrefix="0" xfId="0">
      <alignment indent="5"/>
    </xf>
    <xf numFmtId="0" fontId="5" fillId="0" borderId="0" applyAlignment="1" pivotButton="0" quotePrefix="0" xfId="0">
      <alignment indent="6"/>
    </xf>
    <xf numFmtId="0" fontId="5" fillId="0" borderId="0" applyAlignment="1" pivotButton="0" quotePrefix="0" xfId="0">
      <alignment indent="7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indent="3"/>
    </xf>
    <xf numFmtId="0" fontId="0" fillId="0" borderId="0" applyAlignment="1" pivotButton="0" quotePrefix="0" xfId="0">
      <alignment indent="4"/>
    </xf>
    <xf numFmtId="0" fontId="0" fillId="0" borderId="0" applyAlignment="1" pivotButton="0" quotePrefix="0" xfId="0">
      <alignment indent="5"/>
    </xf>
    <xf numFmtId="0" fontId="0" fillId="0" borderId="0" applyAlignment="1" pivotButton="0" quotePrefix="0" xfId="0">
      <alignment indent="6"/>
    </xf>
    <xf numFmtId="0" fontId="0" fillId="0" borderId="0" applyAlignment="1" pivotButton="0" quotePrefix="0" xfId="0">
      <alignment indent="7"/>
    </xf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삼성전자 투자심사 모델</t>
        </is>
      </c>
    </row>
    <row r="2">
      <c r="A2" s="2" t="inlineStr">
        <is>
          <t>tools/build_excel.py가 model.html에서 생성. 직접 고치지 말 것 — 다음 빌드에 덮인다.</t>
        </is>
      </c>
    </row>
    <row r="4">
      <c r="A4" s="3" t="inlineStr">
        <is>
          <t>시트</t>
        </is>
      </c>
      <c r="B4" s="3" t="inlineStr">
        <is>
          <t>내용</t>
        </is>
      </c>
    </row>
    <row r="5">
      <c r="A5" s="4" t="inlineStr">
        <is>
          <t>Index</t>
        </is>
      </c>
      <c r="B5" s="5" t="inlineStr">
        <is>
          <t>이 시트</t>
        </is>
      </c>
    </row>
    <row r="6">
      <c r="A6" s="4" t="inlineStr">
        <is>
          <t>Control</t>
        </is>
      </c>
      <c r="B6" s="5" t="inlineStr">
        <is>
          <t>모델 개요·전역 설정</t>
        </is>
      </c>
    </row>
    <row r="7">
      <c r="A7" s="4" t="inlineStr">
        <is>
          <t>Assumptions</t>
        </is>
      </c>
      <c r="B7" s="5" t="inlineStr">
        <is>
          <t>가정변수 일람과 근거</t>
        </is>
      </c>
    </row>
    <row r="8">
      <c r="A8" s="4" t="inlineStr">
        <is>
          <t>Model</t>
        </is>
      </c>
      <c r="B8" s="5" t="inlineStr">
        <is>
          <t>계정 트리 × 연도. 수식이 살아있는 본체</t>
        </is>
      </c>
    </row>
    <row r="9">
      <c r="A9" s="4" t="inlineStr">
        <is>
          <t>Formula Audit</t>
        </is>
      </c>
      <c r="B9" s="5" t="inlineStr">
        <is>
          <t>모델 원식 ↔ 셀 수식 대조</t>
        </is>
      </c>
    </row>
    <row r="10">
      <c r="A10" s="4" t="inlineStr">
        <is>
          <t>Structure</t>
        </is>
      </c>
      <c r="B10" s="5" t="inlineStr">
        <is>
          <t>트리 구조·깊이·행 배치</t>
        </is>
      </c>
    </row>
    <row r="11">
      <c r="A11" s="4" t="inlineStr">
        <is>
          <t>Checks</t>
        </is>
      </c>
      <c r="B11" s="5" t="inlineStr">
        <is>
          <t>부모 = 자식 합 정합 검증</t>
        </is>
      </c>
    </row>
    <row r="12">
      <c r="A12" s="4" t="inlineStr">
        <is>
          <t>Metadata</t>
        </is>
      </c>
      <c r="B12" s="5" t="inlineStr">
        <is>
          <t>빌드 정보</t>
        </is>
      </c>
    </row>
    <row r="14">
      <c r="A14" s="4" t="inlineStr">
        <is>
          <t>셀 색 규약</t>
        </is>
      </c>
    </row>
    <row r="15">
      <c r="A15" s="2" t="inlineStr">
        <is>
          <t>파랑 글자</t>
        </is>
      </c>
      <c r="B15" s="2" t="inlineStr">
        <is>
          <t>하드코딩 입력값 — 여기만 고친다</t>
        </is>
      </c>
    </row>
    <row r="16">
      <c r="A16" s="2" t="inlineStr">
        <is>
          <t>검정 글자</t>
        </is>
      </c>
      <c r="B16" s="2" t="inlineStr">
        <is>
          <t>수식</t>
        </is>
      </c>
    </row>
    <row r="17">
      <c r="A17" s="2" t="inlineStr">
        <is>
          <t>회색 배경</t>
        </is>
      </c>
      <c r="B17" s="2" t="inlineStr">
        <is>
          <t>실적(Historical) 구간 — 공시 확정값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컨트롤</t>
        </is>
      </c>
    </row>
    <row r="2">
      <c r="A2" s="2" t="inlineStr">
        <is>
          <t>가정을 바꾸려면 Assumptions 시트가 아니라 Model 시트의 파랑 셀을 고친다. Model이 계산의 단일 출처다.</t>
        </is>
      </c>
    </row>
    <row r="4">
      <c r="A4" s="4" t="inlineStr">
        <is>
          <t>모델</t>
        </is>
      </c>
      <c r="B4" t="inlineStr">
        <is>
          <t>삼성전자 투자심사 모델</t>
        </is>
      </c>
    </row>
    <row r="5">
      <c r="A5" s="4" t="inlineStr">
        <is>
          <t>통화 단위</t>
        </is>
      </c>
      <c r="B5" t="inlineStr">
        <is>
          <t>억원</t>
        </is>
      </c>
    </row>
    <row r="6">
      <c r="A6" s="4" t="inlineStr">
        <is>
          <t>범위</t>
        </is>
      </c>
      <c r="B6" t="inlineStr">
        <is>
          <t>4부문 매출×OPM → 영업이익 → 밸류에이션</t>
        </is>
      </c>
    </row>
    <row r="7">
      <c r="A7" s="4" t="inlineStr">
        <is>
          <t>실적 연도 수 (HIST_N)</t>
        </is>
      </c>
      <c r="B7" t="n">
        <v>5</v>
      </c>
    </row>
    <row r="8">
      <c r="A8" s="4" t="inlineStr">
        <is>
          <t>추정 연도 수</t>
        </is>
      </c>
      <c r="B8" t="n">
        <v>5</v>
      </c>
    </row>
    <row r="9">
      <c r="A9" s="4" t="inlineStr">
        <is>
          <t>첫 연도</t>
        </is>
      </c>
      <c r="B9" t="inlineStr">
        <is>
          <t>2021</t>
        </is>
      </c>
    </row>
    <row r="10">
      <c r="A10" s="4" t="inlineStr">
        <is>
          <t>마지막 연도</t>
        </is>
      </c>
      <c r="B10" t="inlineStr">
        <is>
          <t>2030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90" customWidth="1" min="14" max="14"/>
  </cols>
  <sheetData>
    <row r="1">
      <c r="A1" s="1" t="inlineStr">
        <is>
          <t>가정변수 일람</t>
        </is>
      </c>
    </row>
    <row r="2">
      <c r="A2" s="2" t="inlineStr">
        <is>
          <t>파랑 = 하드코딩 입력값. 근거 열의 대괄호 태그가 객관/주관 구분이다.</t>
        </is>
      </c>
    </row>
    <row r="3">
      <c r="D3" s="6" t="inlineStr">
        <is>
          <t>실적</t>
        </is>
      </c>
      <c r="E3" s="6" t="inlineStr">
        <is>
          <t>실적</t>
        </is>
      </c>
      <c r="F3" s="6" t="inlineStr">
        <is>
          <t>실적</t>
        </is>
      </c>
      <c r="G3" s="6" t="inlineStr">
        <is>
          <t>실적</t>
        </is>
      </c>
      <c r="H3" s="6" t="inlineStr">
        <is>
          <t>실적</t>
        </is>
      </c>
      <c r="I3" s="7" t="inlineStr">
        <is>
          <t>추정</t>
        </is>
      </c>
      <c r="J3" s="7" t="inlineStr">
        <is>
          <t>추정</t>
        </is>
      </c>
      <c r="K3" s="7" t="inlineStr">
        <is>
          <t>추정</t>
        </is>
      </c>
      <c r="L3" s="7" t="inlineStr">
        <is>
          <t>추정</t>
        </is>
      </c>
      <c r="M3" s="7" t="inlineStr">
        <is>
          <t>추정</t>
        </is>
      </c>
    </row>
    <row r="4">
      <c r="A4" s="3" t="inlineStr">
        <is>
          <t>계정</t>
        </is>
      </c>
      <c r="B4" s="3" t="inlineStr">
        <is>
          <t>노드 id</t>
        </is>
      </c>
      <c r="C4" s="3" t="inlineStr">
        <is>
          <t>단위</t>
        </is>
      </c>
      <c r="D4" s="8" t="inlineStr">
        <is>
          <t>2021A</t>
        </is>
      </c>
      <c r="E4" s="8" t="inlineStr">
        <is>
          <t>2022A</t>
        </is>
      </c>
      <c r="F4" s="8" t="inlineStr">
        <is>
          <t>2023A</t>
        </is>
      </c>
      <c r="G4" s="8" t="inlineStr">
        <is>
          <t>2024A</t>
        </is>
      </c>
      <c r="H4" s="8" t="inlineStr">
        <is>
          <t>2025A</t>
        </is>
      </c>
      <c r="I4" s="8" t="inlineStr">
        <is>
          <t>2026E</t>
        </is>
      </c>
      <c r="J4" s="8" t="inlineStr">
        <is>
          <t>2027E</t>
        </is>
      </c>
      <c r="K4" s="8" t="inlineStr">
        <is>
          <t>2028E</t>
        </is>
      </c>
      <c r="L4" s="8" t="inlineStr">
        <is>
          <t>2029E</t>
        </is>
      </c>
      <c r="M4" s="8" t="inlineStr">
        <is>
          <t>2030E</t>
        </is>
      </c>
      <c r="N4" s="3" t="inlineStr">
        <is>
          <t>근거</t>
        </is>
      </c>
    </row>
    <row r="5">
      <c r="A5" s="5" t="inlineStr">
        <is>
          <t>목표 EV/EBITDA</t>
        </is>
      </c>
      <c r="B5" s="2" t="inlineStr">
        <is>
          <t>target_ev_ebitda</t>
        </is>
      </c>
      <c r="C5" s="2" t="inlineStr">
        <is>
          <t>배</t>
        </is>
      </c>
      <c r="D5" s="9" t="n">
        <v>6</v>
      </c>
      <c r="E5" s="9" t="n">
        <v>6</v>
      </c>
      <c r="F5" s="9" t="n">
        <v>6</v>
      </c>
      <c r="G5" s="9" t="n">
        <v>6</v>
      </c>
      <c r="H5" s="9" t="n">
        <v>6</v>
      </c>
      <c r="I5" s="10" t="n">
        <v>6</v>
      </c>
      <c r="J5" s="10" t="n">
        <v>6</v>
      </c>
      <c r="K5" s="10" t="n">
        <v>6</v>
      </c>
      <c r="L5" s="10" t="n">
        <v>6</v>
      </c>
      <c r="M5" s="10" t="n">
        <v>6</v>
      </c>
      <c r="N5" s="11" t="inlineStr">
        <is>
          <t>[주관·시나리오] 6배. 이 회사의 10년 사이클 중립 범위는 4~6배였고, HBM이 장기공급계약 기반이라 과거보다 사이클 진폭이 줄었다는 논거로 상단을 택했다. 참고로 현재 시장은 2026E 컨센서스 기준 3.2배 — 시장 스스로 2026년 이익을 **정점으로 취급**하고 있다는 뜻이다. 정점 이익에는 낮은 배수가 붙는 것이 메모리의 역사다.</t>
        </is>
      </c>
    </row>
    <row r="6">
      <c r="A6" s="5" t="inlineStr">
        <is>
          <t>D&amp;A 실적</t>
        </is>
      </c>
      <c r="B6" s="2" t="inlineStr">
        <is>
          <t>da_actual</t>
        </is>
      </c>
      <c r="C6" s="2" t="inlineStr">
        <is>
          <t>억원</t>
        </is>
      </c>
      <c r="D6" s="9" t="n">
        <v>342473.61</v>
      </c>
      <c r="E6" s="9" t="n">
        <v>391076.59</v>
      </c>
      <c r="F6" s="9" t="n">
        <v>386665.59</v>
      </c>
      <c r="G6" s="9" t="n">
        <v>426308.22</v>
      </c>
      <c r="H6" s="9" t="n">
        <v>469265.92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1" t="inlineStr">
        <is>
          <t>[객관] 부문별 보고 주석 연결 열.</t>
        </is>
      </c>
    </row>
    <row r="7">
      <c r="A7" s="5" t="inlineStr">
        <is>
          <t>D&amp;A 증가율</t>
        </is>
      </c>
      <c r="B7" s="2" t="inlineStr">
        <is>
          <t>da_g</t>
        </is>
      </c>
      <c r="C7" s="2" t="inlineStr">
        <is>
          <t>%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3" t="n">
        <v>0.08</v>
      </c>
      <c r="J7" s="13" t="n">
        <v>0.18</v>
      </c>
      <c r="K7" s="13" t="n">
        <v>0.15</v>
      </c>
      <c r="L7" s="13" t="n">
        <v>0.1</v>
      </c>
      <c r="M7" s="13" t="n">
        <v>0.08</v>
      </c>
      <c r="N7" s="11" t="inlineStr">
        <is>
          <t>[주관] 2026년 +8%는 상반기 확정(25.4조, 연환산 50.7조)에서 역산했다. 2027~2028 +18%/+15%는 슈퍼사이클 이익이 HBM·파운드리 증설로 재투자되는 것을 반영 — CAPEX가 정점 이익을 따라가는 것이 이 회사의 역사다. 감가상각 증가는 2029년 이후 영업이익률 정상화를 누르는 힘이기도 하다.</t>
        </is>
      </c>
    </row>
    <row r="8">
      <c r="A8" s="5" t="inlineStr">
        <is>
          <t>순이익 실적</t>
        </is>
      </c>
      <c r="B8" s="2" t="inlineStr">
        <is>
          <t>ni_actual</t>
        </is>
      </c>
      <c r="C8" s="2" t="inlineStr">
        <is>
          <t>억원</t>
        </is>
      </c>
      <c r="D8" s="9" t="n">
        <v>392437.91</v>
      </c>
      <c r="E8" s="9" t="n">
        <v>547300.1800000001</v>
      </c>
      <c r="F8" s="9" t="n">
        <v>144734.01</v>
      </c>
      <c r="G8" s="9" t="n">
        <v>336213.63</v>
      </c>
      <c r="H8" s="9" t="n">
        <v>442609.56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1" t="inlineStr">
        <is>
          <t>[객관] 연결 지배주주 순이익 확정값 (사업보고서 연결포괄손익계산서).</t>
        </is>
      </c>
    </row>
    <row r="9">
      <c r="A9" s="5" t="inlineStr">
        <is>
          <t>영업외손익</t>
        </is>
      </c>
      <c r="B9" s="2" t="inlineStr">
        <is>
          <t>nonop</t>
        </is>
      </c>
      <c r="C9" s="2" t="inlineStr">
        <is>
          <t>억원</t>
        </is>
      </c>
      <c r="D9" s="9" t="n">
        <v>17179.71</v>
      </c>
      <c r="E9" s="9" t="n">
        <v>30638.44</v>
      </c>
      <c r="F9" s="9" t="n">
        <v>44392.89</v>
      </c>
      <c r="G9" s="9" t="n">
        <v>48037.73</v>
      </c>
      <c r="H9" s="9" t="n">
        <v>58804.2</v>
      </c>
      <c r="I9" s="10" t="n">
        <v>45000</v>
      </c>
      <c r="J9" s="10" t="n">
        <v>45000</v>
      </c>
      <c r="K9" s="10" t="n">
        <v>45000</v>
      </c>
      <c r="L9" s="10" t="n">
        <v>45000</v>
      </c>
      <c r="M9" s="10" t="n">
        <v>45000</v>
      </c>
      <c r="N9" s="11" t="inlineStr">
        <is>
          <t>[주관 추정 · 실적은 공시값] 영업외손익 = 세전이익 − 영업이익. 실적 +1.7/+3.1/+4.4/+4.8/+5.9조 — 순현금 이자수익 중심의 안정적 흑자. **+4.5조 고정**.</t>
        </is>
      </c>
    </row>
    <row r="10">
      <c r="A10" s="5" t="inlineStr">
        <is>
          <t>실효세율</t>
        </is>
      </c>
      <c r="B10" s="2" t="inlineStr">
        <is>
          <t>tax_rate</t>
        </is>
      </c>
      <c r="C10" s="2" t="inlineStr">
        <is>
          <t>%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3" t="n">
        <v>0.12</v>
      </c>
      <c r="J10" s="13" t="n">
        <v>0.12</v>
      </c>
      <c r="K10" s="13" t="n">
        <v>0.12</v>
      </c>
      <c r="L10" s="13" t="n">
        <v>0.12</v>
      </c>
      <c r="M10" s="13" t="n">
        <v>0.12</v>
      </c>
      <c r="N10" s="11" t="inlineStr">
        <is>
          <t>[주관] 실효세율. 실적 25.1/−2.0/−40.7/8.2/8.6% — 세액공제로 최근 8%대. 공제 축소 여지를 둬 12%.</t>
        </is>
      </c>
    </row>
    <row r="11">
      <c r="A11" s="5" t="inlineStr">
        <is>
          <t>지배지분 비율</t>
        </is>
      </c>
      <c r="B11" s="2" t="inlineStr">
        <is>
          <t>ctrl_ratio</t>
        </is>
      </c>
      <c r="C11" s="2" t="inlineStr">
        <is>
          <t>%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3" t="n">
        <v>0.98</v>
      </c>
      <c r="J11" s="13" t="n">
        <v>0.98</v>
      </c>
      <c r="K11" s="13" t="n">
        <v>0.98</v>
      </c>
      <c r="L11" s="13" t="n">
        <v>0.98</v>
      </c>
      <c r="M11" s="13" t="n">
        <v>0.98</v>
      </c>
      <c r="N11" s="11" t="inlineStr">
        <is>
          <t>[주관] 지배지분 비율. 실적 97~98% — 98% 고정.</t>
        </is>
      </c>
    </row>
    <row r="12">
      <c r="A12" s="5" t="inlineStr">
        <is>
          <t>상장주식수</t>
        </is>
      </c>
      <c r="B12" s="2" t="inlineStr">
        <is>
          <t>shares</t>
        </is>
      </c>
      <c r="C12" s="2" t="inlineStr">
        <is>
          <t>백만주</t>
        </is>
      </c>
      <c r="D12" s="9" t="n">
        <v>6669.165308</v>
      </c>
      <c r="E12" s="9" t="n">
        <v>6669.165308</v>
      </c>
      <c r="F12" s="9" t="n">
        <v>6669.165308</v>
      </c>
      <c r="G12" s="9" t="n">
        <v>6669.165308</v>
      </c>
      <c r="H12" s="9" t="n">
        <v>6669.165308</v>
      </c>
      <c r="I12" s="10" t="n">
        <v>6669.165308</v>
      </c>
      <c r="J12" s="10" t="n">
        <v>6669.165308</v>
      </c>
      <c r="K12" s="10" t="n">
        <v>6669.165308</v>
      </c>
      <c r="L12" s="10" t="n">
        <v>6669.165308</v>
      </c>
      <c r="M12" s="10" t="n">
        <v>6669.165308</v>
      </c>
      <c r="N12" s="11" t="inlineStr">
        <is>
          <t>[객관] 보통주 5,846.3 + 우선주 822.9 = 6,669.2백만주 고정. 지배순이익이 우선주 몫을 포함하므로 합산 주식수가 공시 기본EPS(2025 6,605원)와 가장 가깝다.</t>
        </is>
      </c>
    </row>
    <row r="13">
      <c r="A13" s="5" t="inlineStr">
        <is>
          <t>DPS 실적</t>
        </is>
      </c>
      <c r="B13" s="2" t="inlineStr">
        <is>
          <t>dps_a</t>
        </is>
      </c>
      <c r="C13" s="2" t="inlineStr">
        <is>
          <t>원</t>
        </is>
      </c>
      <c r="D13" s="9" t="n">
        <v>1444</v>
      </c>
      <c r="E13" s="9" t="n">
        <v>1444</v>
      </c>
      <c r="F13" s="9" t="n">
        <v>1444</v>
      </c>
      <c r="G13" s="9" t="n">
        <v>1446</v>
      </c>
      <c r="H13" s="9" t="n">
        <v>1668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1" t="inlineStr">
        <is>
          <t>[객관] 보통주 주당 현금배당. 실적 1,444/1,444/1,444/1,446/1,668원.</t>
        </is>
      </c>
    </row>
    <row r="14">
      <c r="A14" s="5" t="inlineStr">
        <is>
          <t>배당성향</t>
        </is>
      </c>
      <c r="B14" s="2" t="inlineStr">
        <is>
          <t>payout</t>
        </is>
      </c>
      <c r="C14" s="2" t="inlineStr">
        <is>
          <t>%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3" t="n">
        <v>0.25</v>
      </c>
      <c r="J14" s="13" t="n">
        <v>0.25</v>
      </c>
      <c r="K14" s="13" t="n">
        <v>0.25</v>
      </c>
      <c r="L14" s="13" t="n">
        <v>0.25</v>
      </c>
      <c r="M14" s="13" t="n">
        <v>0.25</v>
      </c>
      <c r="N14" s="11" t="inlineStr">
        <is>
          <t>[주관] 배당성향. 실적 25.1~29.2%(정상 연도) — 25% 유지. 주주환원 정책(FCF 50%)상 사이클 정점에는 특별배당 여지가 있으나 미가정.</t>
        </is>
      </c>
    </row>
    <row r="15">
      <c r="A15" s="5" t="inlineStr">
        <is>
          <t>영업이익 조정 실적</t>
        </is>
      </c>
      <c r="B15" s="2" t="inlineStr">
        <is>
          <t>op_adj_a</t>
        </is>
      </c>
      <c r="C15" s="2" t="inlineStr">
        <is>
          <t>억원</t>
        </is>
      </c>
      <c r="D15" s="9" t="n">
        <v>-11.81</v>
      </c>
      <c r="E15" s="9" t="n">
        <v>-187.75</v>
      </c>
      <c r="F15" s="9" t="n">
        <v>3215.49</v>
      </c>
      <c r="G15" s="9" t="n">
        <v>1505.69</v>
      </c>
      <c r="H15" s="9" t="n">
        <v>2429.24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1" t="inlineStr">
        <is>
          <t>[객관] 부문별 보고 주석의 내부거래 조정.</t>
        </is>
      </c>
    </row>
    <row r="16">
      <c r="A16" s="5" t="inlineStr">
        <is>
          <t>DS 영업이익 실적</t>
        </is>
      </c>
      <c r="B16" s="2" t="inlineStr">
        <is>
          <t>ds_op_a</t>
        </is>
      </c>
      <c r="C16" s="2" t="inlineStr">
        <is>
          <t>억원</t>
        </is>
      </c>
      <c r="D16" s="9" t="n">
        <v>291920.21</v>
      </c>
      <c r="E16" s="9" t="n">
        <v>238158.1</v>
      </c>
      <c r="F16" s="9" t="n">
        <v>-148794.58</v>
      </c>
      <c r="G16" s="9" t="n">
        <v>150944.86</v>
      </c>
      <c r="H16" s="9" t="n">
        <v>248580.75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1" t="inlineStr">
        <is>
          <t>[객관] 부문별 보고 주석. 2023년 −14.9조는 메모리 다운사이클의 바닥.</t>
        </is>
      </c>
    </row>
    <row r="17">
      <c r="A17" s="5" t="inlineStr">
        <is>
          <t>DS 영업이익률</t>
        </is>
      </c>
      <c r="B17" s="2" t="inlineStr">
        <is>
          <t>ds_opm</t>
        </is>
      </c>
      <c r="C17" s="2" t="inlineStr">
        <is>
          <t>%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3" t="n">
        <v>0.6899999999999999</v>
      </c>
      <c r="J17" s="13" t="n">
        <v>0.6</v>
      </c>
      <c r="K17" s="13" t="n">
        <v>0.47</v>
      </c>
      <c r="L17" s="13" t="n">
        <v>0.41</v>
      </c>
      <c r="M17" s="13" t="n">
        <v>0.4</v>
      </c>
      <c r="N17" s="11" t="inlineStr">
        <is>
          <t>[주관] **이 모델에서 가장 강력한 가정**이다. 2026년 69%는 상반기 확정 68.3%에 하반기 Q2 수준(69.9%) 유지를 얹은 값. 이후 60 → 47 → 41 → 40%로 정상화 — 역사적 정점(2021년 30.6%)의 위에서 멈추는 것은 HBM 장기계약과 공급 3사 과점을 반영한 판단이다. 사이클 순환의 시점은 예측 불가능해 급락 대신 완만한 경로로 대체했다 — 이 선택 자체가 쟁점이다(debate 참조).</t>
        </is>
      </c>
    </row>
    <row r="18">
      <c r="A18" s="5" t="inlineStr">
        <is>
          <t>DS 매출 실적</t>
        </is>
      </c>
      <c r="B18" s="2" t="inlineStr">
        <is>
          <t>ds_rev_a</t>
        </is>
      </c>
      <c r="C18" s="2" t="inlineStr">
        <is>
          <t>억원</t>
        </is>
      </c>
      <c r="D18" s="9" t="n">
        <v>953871.73</v>
      </c>
      <c r="E18" s="9" t="n">
        <v>984552.7</v>
      </c>
      <c r="F18" s="9" t="n">
        <v>665944.71</v>
      </c>
      <c r="G18" s="9" t="n">
        <v>1110659.5</v>
      </c>
      <c r="H18" s="9" t="n">
        <v>1301281.62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1" t="inlineStr">
        <is>
          <t>[객관] 부문별 보고 주석.</t>
        </is>
      </c>
    </row>
    <row r="19">
      <c r="A19" s="5" t="inlineStr">
        <is>
          <t>DS 매출 성장률</t>
        </is>
      </c>
      <c r="B19" s="2" t="inlineStr">
        <is>
          <t>ds_g</t>
        </is>
      </c>
      <c r="C19" s="2" t="inlineStr">
        <is>
          <t>%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3" t="n">
        <v>2.57</v>
      </c>
      <c r="J19" s="13" t="n">
        <v>0.08</v>
      </c>
      <c r="K19" s="13" t="n">
        <v>-0.12</v>
      </c>
      <c r="L19" s="13" t="n">
        <v>-0.03</v>
      </c>
      <c r="M19" s="13" t="n">
        <v>0.05</v>
      </c>
      <c r="N19" s="11" t="inlineStr">
        <is>
          <t>[주관] 2026년 +257%는 상반기 확정 209.2조 + 하반기 Q2 연율(255조) 유지에서 역산한 FY 464조다. 2027 +8% 후 2028~2029에 다운사이클 (−12%, −3%)을 명시적으로 넣었다 — 정점 후 조정 없는 메모리 전망은 역사에 없다. 2030 +5% 회복.</t>
        </is>
      </c>
    </row>
    <row r="20">
      <c r="A20" s="5" t="inlineStr">
        <is>
          <t>DX 영업이익 실적</t>
        </is>
      </c>
      <c r="B20" s="2" t="inlineStr">
        <is>
          <t>dx_op_a</t>
        </is>
      </c>
      <c r="C20" s="2" t="inlineStr">
        <is>
          <t>억원</t>
        </is>
      </c>
      <c r="D20" s="9" t="n">
        <v>173865.54</v>
      </c>
      <c r="E20" s="9" t="n">
        <v>127460.74</v>
      </c>
      <c r="F20" s="9" t="n">
        <v>143847.05</v>
      </c>
      <c r="G20" s="9" t="n">
        <v>124398.97</v>
      </c>
      <c r="H20" s="9" t="n">
        <v>128526.5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1" t="inlineStr">
        <is>
          <t>[객관] 부문별 보고 주석.</t>
        </is>
      </c>
    </row>
    <row r="21">
      <c r="A21" s="5" t="inlineStr">
        <is>
          <t>DX 영업이익률</t>
        </is>
      </c>
      <c r="B21" s="2" t="inlineStr">
        <is>
          <t>dx_opm</t>
        </is>
      </c>
      <c r="C21" s="2" t="inlineStr">
        <is>
          <t>%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3" t="n">
        <v>0.021</v>
      </c>
      <c r="J21" s="13" t="n">
        <v>0.03</v>
      </c>
      <c r="K21" s="13" t="n">
        <v>0.035</v>
      </c>
      <c r="L21" s="13" t="n">
        <v>0.04</v>
      </c>
      <c r="M21" s="13" t="n">
        <v>0.04</v>
      </c>
      <c r="N21" s="11" t="inlineStr">
        <is>
          <t>[주관] 역사적 6.8~10.5%가 2026년 2.1%(상반기 확정)로 무너졌다. 메모리 가격이 정상화되는 2028년부터 4%로 회복 — 역사 하단보다 낮게 두는 것은 메모리 원가 부담의 구조화 가능성을 반영.</t>
        </is>
      </c>
    </row>
    <row r="22">
      <c r="A22" s="5" t="inlineStr">
        <is>
          <t>DX 매출 실적</t>
        </is>
      </c>
      <c r="B22" s="2" t="inlineStr">
        <is>
          <t>dx_rev_a</t>
        </is>
      </c>
      <c r="C22" s="2" t="inlineStr">
        <is>
          <t>억원</t>
        </is>
      </c>
      <c r="D22" s="9" t="n">
        <v>1662594.37</v>
      </c>
      <c r="E22" s="9" t="n">
        <v>1824897.2</v>
      </c>
      <c r="F22" s="9" t="n">
        <v>1699923.37</v>
      </c>
      <c r="G22" s="9" t="n">
        <v>1748876.83</v>
      </c>
      <c r="H22" s="9" t="n">
        <v>1879673.46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1" t="inlineStr">
        <is>
          <t>[객관] 부문별 보고 주석.</t>
        </is>
      </c>
    </row>
    <row r="23">
      <c r="A23" s="5" t="inlineStr">
        <is>
          <t>DX 매출 성장률</t>
        </is>
      </c>
      <c r="B23" s="2" t="inlineStr">
        <is>
          <t>dx_g</t>
        </is>
      </c>
      <c r="C23" s="2" t="inlineStr">
        <is>
          <t>%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3" t="n">
        <v>0.09</v>
      </c>
      <c r="J23" s="13" t="n">
        <v>0.03</v>
      </c>
      <c r="K23" s="13" t="n">
        <v>0.02</v>
      </c>
      <c r="L23" s="13" t="n">
        <v>0.02</v>
      </c>
      <c r="M23" s="13" t="n">
        <v>0.02</v>
      </c>
      <c r="N23" s="11" t="inlineStr">
        <is>
          <t>[주관] 2026 +9%는 상반기 확정(100.7조, YoY +5.7%)에 하반기 성수기를 얹은 값. 이후 +2~3% — 성숙 사업.</t>
        </is>
      </c>
    </row>
    <row r="24">
      <c r="A24" s="5" t="inlineStr">
        <is>
          <t>SDC 영업이익 실적</t>
        </is>
      </c>
      <c r="B24" s="2" t="inlineStr">
        <is>
          <t>sdc_op_a</t>
        </is>
      </c>
      <c r="C24" s="2" t="inlineStr">
        <is>
          <t>억원</t>
        </is>
      </c>
      <c r="D24" s="9" t="n">
        <v>44573.65</v>
      </c>
      <c r="E24" s="9" t="n">
        <v>59529.73</v>
      </c>
      <c r="F24" s="9" t="n">
        <v>55664.78</v>
      </c>
      <c r="G24" s="9" t="n">
        <v>37334.29</v>
      </c>
      <c r="H24" s="9" t="n">
        <v>41163.08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1" t="inlineStr">
        <is>
          <t>[객관] 부문별 보고 주석.</t>
        </is>
      </c>
    </row>
    <row r="25">
      <c r="A25" s="5" t="inlineStr">
        <is>
          <t>SDC 영업이익률</t>
        </is>
      </c>
      <c r="B25" s="2" t="inlineStr">
        <is>
          <t>sdc_opm</t>
        </is>
      </c>
      <c r="C25" s="2" t="inlineStr">
        <is>
          <t>%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3" t="n">
        <v>0.074</v>
      </c>
      <c r="J25" s="13" t="n">
        <v>0.09</v>
      </c>
      <c r="K25" s="13" t="n">
        <v>0.1</v>
      </c>
      <c r="L25" s="13" t="n">
        <v>0.11</v>
      </c>
      <c r="M25" s="13" t="n">
        <v>0.11</v>
      </c>
      <c r="N25" s="11" t="inlineStr">
        <is>
          <t>[주관] 2026년 7.4%는 상반기 확정. 이후 역사 범위(12.8~18.0%) 하단으로 회복.</t>
        </is>
      </c>
    </row>
    <row r="26">
      <c r="A26" s="5" t="inlineStr">
        <is>
          <t>SDC 매출 실적</t>
        </is>
      </c>
      <c r="B26" s="2" t="inlineStr">
        <is>
          <t>sdc_rev_a</t>
        </is>
      </c>
      <c r="C26" s="2" t="inlineStr">
        <is>
          <t>억원</t>
        </is>
      </c>
      <c r="D26" s="9" t="n">
        <v>317125.26</v>
      </c>
      <c r="E26" s="9" t="n">
        <v>343826.19</v>
      </c>
      <c r="F26" s="9" t="n">
        <v>309753.73</v>
      </c>
      <c r="G26" s="9" t="n">
        <v>291578.2</v>
      </c>
      <c r="H26" s="9" t="n">
        <v>298416.61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 t="inlineStr">
        <is>
          <t>[객관] 부문별 보고 주석.</t>
        </is>
      </c>
    </row>
    <row r="27">
      <c r="A27" s="5" t="inlineStr">
        <is>
          <t>SDC 매출 성장률</t>
        </is>
      </c>
      <c r="B27" s="2" t="inlineStr">
        <is>
          <t>sdc_g</t>
        </is>
      </c>
      <c r="C27" s="2" t="inlineStr">
        <is>
          <t>%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3" t="n">
        <v>-0.03</v>
      </c>
      <c r="J27" s="13" t="n">
        <v>0.05</v>
      </c>
      <c r="K27" s="13" t="n">
        <v>0.03</v>
      </c>
      <c r="L27" s="13" t="n">
        <v>0.02</v>
      </c>
      <c r="M27" s="13" t="n">
        <v>0.02</v>
      </c>
      <c r="N27" s="11" t="inlineStr">
        <is>
          <t>[주관] 2026 −3%는 상반기 확정(14.2조, YoY +15.8%)과 하반기 기저를 감안. IT OLED 전환이 완만한 회복을 이끈다고 봤다.</t>
        </is>
      </c>
    </row>
    <row r="28">
      <c r="A28" s="5" t="inlineStr">
        <is>
          <t>Harman 영업이익 실적</t>
        </is>
      </c>
      <c r="B28" s="2" t="inlineStr">
        <is>
          <t>harman_op_a</t>
        </is>
      </c>
      <c r="C28" s="2" t="inlineStr">
        <is>
          <t>억원</t>
        </is>
      </c>
      <c r="D28" s="9" t="n">
        <v>5990.97</v>
      </c>
      <c r="E28" s="9" t="n">
        <v>8805.48</v>
      </c>
      <c r="F28" s="9" t="n">
        <v>11737.02</v>
      </c>
      <c r="G28" s="9" t="n">
        <v>13075.8</v>
      </c>
      <c r="H28" s="9" t="n">
        <v>15310.94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 t="inlineStr">
        <is>
          <t>[객관] 부문별 보고 주석.</t>
        </is>
      </c>
    </row>
    <row r="29">
      <c r="A29" s="5" t="inlineStr">
        <is>
          <t>Harman 영업이익률</t>
        </is>
      </c>
      <c r="B29" s="2" t="inlineStr">
        <is>
          <t>harman_opm</t>
        </is>
      </c>
      <c r="C29" s="2" t="inlineStr">
        <is>
          <t>%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3" t="n">
        <v>0.076</v>
      </c>
      <c r="J29" s="13" t="n">
        <v>0.08500000000000001</v>
      </c>
      <c r="K29" s="13" t="n">
        <v>0.09</v>
      </c>
      <c r="L29" s="13" t="n">
        <v>0.09</v>
      </c>
      <c r="M29" s="13" t="n">
        <v>0.09</v>
      </c>
      <c r="N29" s="11" t="inlineStr">
        <is>
          <t>[주관] 상반기 확정 7.6%에서 9%로 완만히 개선.</t>
        </is>
      </c>
    </row>
    <row r="30">
      <c r="A30" s="5" t="inlineStr">
        <is>
          <t>Harman 매출 실적</t>
        </is>
      </c>
      <c r="B30" s="2" t="inlineStr">
        <is>
          <t>harman_rev_a</t>
        </is>
      </c>
      <c r="C30" s="2" t="inlineStr">
        <is>
          <t>억원</t>
        </is>
      </c>
      <c r="D30" s="9" t="n">
        <v>100399.22</v>
      </c>
      <c r="E30" s="9" t="n">
        <v>132136.94</v>
      </c>
      <c r="F30" s="9" t="n">
        <v>143884.54</v>
      </c>
      <c r="G30" s="9" t="n">
        <v>142749.3</v>
      </c>
      <c r="H30" s="9" t="n">
        <v>157833.25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1" t="inlineStr">
        <is>
          <t>[객관] 부문별 보고 주석.</t>
        </is>
      </c>
    </row>
    <row r="31">
      <c r="A31" s="5" t="inlineStr">
        <is>
          <t>Harman 매출 성장률</t>
        </is>
      </c>
      <c r="B31" s="2" t="inlineStr">
        <is>
          <t>harman_g</t>
        </is>
      </c>
      <c r="C31" s="2" t="inlineStr">
        <is>
          <t>%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3" t="n">
        <v>0.09</v>
      </c>
      <c r="J31" s="13" t="n">
        <v>0.06</v>
      </c>
      <c r="K31" s="13" t="n">
        <v>0.05</v>
      </c>
      <c r="L31" s="13" t="n">
        <v>0.04</v>
      </c>
      <c r="M31" s="13" t="n">
        <v>0.03</v>
      </c>
      <c r="N31" s="11" t="inlineStr">
        <is>
          <t>[주관] 상반기 확정(8.4조, YoY +15.8%)에서 체감.</t>
        </is>
      </c>
    </row>
    <row r="32">
      <c r="A32" s="5" t="inlineStr">
        <is>
          <t>조정 실적</t>
        </is>
      </c>
      <c r="B32" s="2" t="inlineStr">
        <is>
          <t>rev_adj_a</t>
        </is>
      </c>
      <c r="C32" s="2" t="inlineStr">
        <is>
          <t>억원</t>
        </is>
      </c>
      <c r="D32" s="9" t="n">
        <v>-237942.59</v>
      </c>
      <c r="E32" s="9" t="n">
        <v>-263099.43</v>
      </c>
      <c r="F32" s="9" t="n">
        <v>-230151.41</v>
      </c>
      <c r="G32" s="9" t="n">
        <v>-285154.8</v>
      </c>
      <c r="H32" s="9" t="n">
        <v>-301145.56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1" t="inlineStr">
        <is>
          <t>[객관] 부문별 보고 주석의 내부거래 조정 열.</t>
        </is>
      </c>
    </row>
    <row r="33">
      <c r="A33" s="5" t="inlineStr">
        <is>
          <t>조정률</t>
        </is>
      </c>
      <c r="B33" s="2" t="inlineStr">
        <is>
          <t>adj_ratio</t>
        </is>
      </c>
      <c r="C33" s="2" t="inlineStr">
        <is>
          <t>%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3" t="n">
        <v>-0.082</v>
      </c>
      <c r="J33" s="13" t="n">
        <v>-0.082</v>
      </c>
      <c r="K33" s="13" t="n">
        <v>-0.082</v>
      </c>
      <c r="L33" s="13" t="n">
        <v>-0.082</v>
      </c>
      <c r="M33" s="13" t="n">
        <v>-0.082</v>
      </c>
      <c r="N33" s="11" t="inlineStr">
        <is>
          <t>[주관] 5개년 평균 −8.3%, 2026 상반기 −8.2%. 고정.</t>
        </is>
      </c>
    </row>
    <row r="34">
      <c r="A34" s="5" t="inlineStr">
        <is>
          <t>실적 구간 표시</t>
        </is>
      </c>
      <c r="B34" s="2" t="inlineStr">
        <is>
          <t>hist</t>
        </is>
      </c>
      <c r="C34" s="2" t="inlineStr"/>
      <c r="D34" s="9" t="n">
        <v>1</v>
      </c>
      <c r="E34" s="9" t="n">
        <v>1</v>
      </c>
      <c r="F34" s="9" t="n">
        <v>1</v>
      </c>
      <c r="G34" s="9" t="n">
        <v>1</v>
      </c>
      <c r="H34" s="9" t="n">
        <v>1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1" t="inlineStr">
        <is>
          <t>[객관] 실적 구간이면 1, 추정 구간이면 0. 음수 실적(DS 2023 영업이익 −14.9조)이 있어 IF(actual &gt; 0) 방식이 성립하지 않는다 — KT&amp;G의 df_hist와 같은 마스크 방식.</t>
        </is>
      </c>
    </row>
    <row r="35">
      <c r="A35" s="5" t="inlineStr">
        <is>
          <t>순차입금 (음수 = 순현금)</t>
        </is>
      </c>
      <c r="B35" s="2" t="inlineStr">
        <is>
          <t>net_debt</t>
        </is>
      </c>
      <c r="C35" s="2" t="inlineStr">
        <is>
          <t>억원</t>
        </is>
      </c>
      <c r="D35" s="9" t="n">
        <v>-1023482.52</v>
      </c>
      <c r="E35" s="9" t="n">
        <v>-1044503.54</v>
      </c>
      <c r="F35" s="9" t="n">
        <v>-790858.73</v>
      </c>
      <c r="G35" s="9" t="n">
        <v>-932847.29</v>
      </c>
      <c r="H35" s="9" t="n">
        <v>-1005822.6</v>
      </c>
      <c r="I35" s="10" t="n">
        <v>-1005822.6</v>
      </c>
      <c r="J35" s="10" t="n">
        <v>-1005822.6</v>
      </c>
      <c r="K35" s="10" t="n">
        <v>-1005822.6</v>
      </c>
      <c r="L35" s="10" t="n">
        <v>-1005822.6</v>
      </c>
      <c r="M35" s="10" t="n">
        <v>-1005822.6</v>
      </c>
      <c r="N35" s="11" t="inlineStr">
        <is>
          <t>[객관 실적 / 추정 구간 고정] 차입금(단기+유동성장기+사채+장기) − 현금및현금성자산 − 단기금융상품. 전 기간 **순현금 79~104조**. 추정 구간은 2025년 수준 고정 — 슈퍼사이클 이익이 실현되면 실제로는 수백조가 쌓이겠지만 배당·자사주·CAPEX 배분을 예측할 근거가 없어 보수적으로 두었다. 이 고정이 이 모델에서 가장 보수적인 가정이다.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삼성전자 투자심사 모델</t>
        </is>
      </c>
    </row>
    <row r="2">
      <c r="A2" s="2" t="inlineStr">
        <is>
          <t>단위 억원 · 실적 5개년 + 추정 5개년</t>
        </is>
      </c>
    </row>
    <row r="3">
      <c r="D3" s="6" t="inlineStr">
        <is>
          <t>실적</t>
        </is>
      </c>
      <c r="E3" s="6" t="inlineStr">
        <is>
          <t>실적</t>
        </is>
      </c>
      <c r="F3" s="6" t="inlineStr">
        <is>
          <t>실적</t>
        </is>
      </c>
      <c r="G3" s="6" t="inlineStr">
        <is>
          <t>실적</t>
        </is>
      </c>
      <c r="H3" s="6" t="inlineStr">
        <is>
          <t>실적</t>
        </is>
      </c>
      <c r="I3" s="7" t="inlineStr">
        <is>
          <t>추정</t>
        </is>
      </c>
      <c r="J3" s="7" t="inlineStr">
        <is>
          <t>추정</t>
        </is>
      </c>
      <c r="K3" s="7" t="inlineStr">
        <is>
          <t>추정</t>
        </is>
      </c>
      <c r="L3" s="7" t="inlineStr">
        <is>
          <t>추정</t>
        </is>
      </c>
      <c r="M3" s="7" t="inlineStr">
        <is>
          <t>추정</t>
        </is>
      </c>
    </row>
    <row r="4">
      <c r="A4" s="3" t="inlineStr">
        <is>
          <t>계정</t>
        </is>
      </c>
      <c r="B4" s="3" t="inlineStr">
        <is>
          <t>노드 id</t>
        </is>
      </c>
      <c r="C4" s="3" t="inlineStr">
        <is>
          <t>단위</t>
        </is>
      </c>
      <c r="D4" s="8" t="inlineStr">
        <is>
          <t>2021A</t>
        </is>
      </c>
      <c r="E4" s="8" t="inlineStr">
        <is>
          <t>2022A</t>
        </is>
      </c>
      <c r="F4" s="8" t="inlineStr">
        <is>
          <t>2023A</t>
        </is>
      </c>
      <c r="G4" s="8" t="inlineStr">
        <is>
          <t>2024A</t>
        </is>
      </c>
      <c r="H4" s="8" t="inlineStr">
        <is>
          <t>2025A</t>
        </is>
      </c>
      <c r="I4" s="8" t="inlineStr">
        <is>
          <t>2026E</t>
        </is>
      </c>
      <c r="J4" s="8" t="inlineStr">
        <is>
          <t>2027E</t>
        </is>
      </c>
      <c r="K4" s="8" t="inlineStr">
        <is>
          <t>2028E</t>
        </is>
      </c>
      <c r="L4" s="8" t="inlineStr">
        <is>
          <t>2029E</t>
        </is>
      </c>
      <c r="M4" s="8" t="inlineStr">
        <is>
          <t>2030E</t>
        </is>
      </c>
    </row>
    <row r="5">
      <c r="A5" s="4" t="inlineStr">
        <is>
          <t>적정 시가총액</t>
        </is>
      </c>
      <c r="B5" s="2" t="inlineStr">
        <is>
          <t>root</t>
        </is>
      </c>
      <c r="C5" s="2" t="inlineStr">
        <is>
          <t>억원</t>
        </is>
      </c>
      <c r="D5" s="14">
        <f>(D6-D54)</f>
        <v/>
      </c>
      <c r="E5" s="14">
        <f>(E6-E54)</f>
        <v/>
      </c>
      <c r="F5" s="14">
        <f>(F6-F54)</f>
        <v/>
      </c>
      <c r="G5" s="14">
        <f>(G6-G54)</f>
        <v/>
      </c>
      <c r="H5" s="14">
        <f>(H6-H54)</f>
        <v/>
      </c>
      <c r="I5" s="14">
        <f>(I6-I54)</f>
        <v/>
      </c>
      <c r="J5" s="14">
        <f>(J6-J54)</f>
        <v/>
      </c>
      <c r="K5" s="14">
        <f>(K6-K54)</f>
        <v/>
      </c>
      <c r="L5" s="14">
        <f>(L6-L54)</f>
        <v/>
      </c>
      <c r="M5" s="14">
        <f>(M6-M54)</f>
        <v/>
      </c>
    </row>
    <row r="6">
      <c r="A6" s="15" t="inlineStr">
        <is>
          <t>사업가치 (EV)</t>
        </is>
      </c>
      <c r="B6" s="2" t="inlineStr">
        <is>
          <t>ev_value</t>
        </is>
      </c>
      <c r="C6" s="2" t="inlineStr">
        <is>
          <t>억원</t>
        </is>
      </c>
      <c r="D6" s="16">
        <f>(D8*D7)</f>
        <v/>
      </c>
      <c r="E6" s="16">
        <f>(E8*E7)</f>
        <v/>
      </c>
      <c r="F6" s="16">
        <f>(F8*F7)</f>
        <v/>
      </c>
      <c r="G6" s="16">
        <f>(G8*G7)</f>
        <v/>
      </c>
      <c r="H6" s="16">
        <f>(H8*H7)</f>
        <v/>
      </c>
      <c r="I6" s="17">
        <f>(I8*I7)</f>
        <v/>
      </c>
      <c r="J6" s="17">
        <f>(J8*J7)</f>
        <v/>
      </c>
      <c r="K6" s="17">
        <f>(K8*K7)</f>
        <v/>
      </c>
      <c r="L6" s="17">
        <f>(L8*L7)</f>
        <v/>
      </c>
      <c r="M6" s="17">
        <f>(M8*M7)</f>
        <v/>
      </c>
    </row>
    <row r="7">
      <c r="A7" s="18" t="inlineStr">
        <is>
          <t>목표 EV/EBITDA</t>
        </is>
      </c>
      <c r="B7" s="2" t="inlineStr">
        <is>
          <t>target_ev_ebitda</t>
        </is>
      </c>
      <c r="C7" s="2" t="inlineStr">
        <is>
          <t>배</t>
        </is>
      </c>
      <c r="D7" s="19" t="n">
        <v>6</v>
      </c>
      <c r="E7" s="19" t="n">
        <v>6</v>
      </c>
      <c r="F7" s="19" t="n">
        <v>6</v>
      </c>
      <c r="G7" s="19" t="n">
        <v>6</v>
      </c>
      <c r="H7" s="19" t="n">
        <v>6</v>
      </c>
      <c r="I7" s="20" t="n">
        <v>6</v>
      </c>
      <c r="J7" s="20" t="n">
        <v>6</v>
      </c>
      <c r="K7" s="20" t="n">
        <v>6</v>
      </c>
      <c r="L7" s="20" t="n">
        <v>6</v>
      </c>
      <c r="M7" s="20" t="n">
        <v>6</v>
      </c>
    </row>
    <row r="8">
      <c r="A8" s="18" t="inlineStr">
        <is>
          <t>EBITDA</t>
        </is>
      </c>
      <c r="B8" s="2" t="inlineStr">
        <is>
          <t>ebitda</t>
        </is>
      </c>
      <c r="C8" s="2" t="inlineStr">
        <is>
          <t>억원</t>
        </is>
      </c>
      <c r="D8" s="16">
        <f>(D12+D9)</f>
        <v/>
      </c>
      <c r="E8" s="16">
        <f>(E12+E9)</f>
        <v/>
      </c>
      <c r="F8" s="16">
        <f>(F12+F9)</f>
        <v/>
      </c>
      <c r="G8" s="16">
        <f>(G12+G9)</f>
        <v/>
      </c>
      <c r="H8" s="16">
        <f>(H12+H9)</f>
        <v/>
      </c>
      <c r="I8" s="17">
        <f>(I12+I9)</f>
        <v/>
      </c>
      <c r="J8" s="17">
        <f>(J12+J9)</f>
        <v/>
      </c>
      <c r="K8" s="17">
        <f>(K12+K9)</f>
        <v/>
      </c>
      <c r="L8" s="17">
        <f>(L12+L9)</f>
        <v/>
      </c>
      <c r="M8" s="17">
        <f>(M12+M9)</f>
        <v/>
      </c>
    </row>
    <row r="9">
      <c r="A9" s="21" t="inlineStr">
        <is>
          <t>감가·무형상각</t>
        </is>
      </c>
      <c r="B9" s="2" t="inlineStr">
        <is>
          <t>da_total</t>
        </is>
      </c>
      <c r="C9" s="2" t="inlineStr">
        <is>
          <t>억원</t>
        </is>
      </c>
      <c r="D9" s="16">
        <f>IF((D53&gt;0),D10,(0*(1+D11)))</f>
        <v/>
      </c>
      <c r="E9" s="16">
        <f>IF((E53&gt;0),E10,(D9*(1+E11)))</f>
        <v/>
      </c>
      <c r="F9" s="16">
        <f>IF((F53&gt;0),F10,(E9*(1+F11)))</f>
        <v/>
      </c>
      <c r="G9" s="16">
        <f>IF((G53&gt;0),G10,(F9*(1+G11)))</f>
        <v/>
      </c>
      <c r="H9" s="16">
        <f>IF((H53&gt;0),H10,(G9*(1+H11)))</f>
        <v/>
      </c>
      <c r="I9" s="17">
        <f>IF((I53&gt;0),I10,(H9*(1+I11)))</f>
        <v/>
      </c>
      <c r="J9" s="17">
        <f>IF((J53&gt;0),J10,(I9*(1+J11)))</f>
        <v/>
      </c>
      <c r="K9" s="17">
        <f>IF((K53&gt;0),K10,(J9*(1+K11)))</f>
        <v/>
      </c>
      <c r="L9" s="17">
        <f>IF((L53&gt;0),L10,(K9*(1+L11)))</f>
        <v/>
      </c>
      <c r="M9" s="17">
        <f>IF((M53&gt;0),M10,(L9*(1+M11)))</f>
        <v/>
      </c>
    </row>
    <row r="10">
      <c r="A10" s="22" t="inlineStr">
        <is>
          <t>D&amp;A 실적</t>
        </is>
      </c>
      <c r="B10" s="2" t="inlineStr">
        <is>
          <t>da_actual</t>
        </is>
      </c>
      <c r="C10" s="2" t="inlineStr">
        <is>
          <t>억원</t>
        </is>
      </c>
      <c r="D10" s="19" t="n">
        <v>342473.61</v>
      </c>
      <c r="E10" s="19" t="n">
        <v>391076.59</v>
      </c>
      <c r="F10" s="19" t="n">
        <v>386665.59</v>
      </c>
      <c r="G10" s="19" t="n">
        <v>426308.22</v>
      </c>
      <c r="H10" s="19" t="n">
        <v>469265.92</v>
      </c>
      <c r="I10" s="20" t="n">
        <v>0</v>
      </c>
      <c r="J10" s="20" t="n">
        <v>0</v>
      </c>
      <c r="K10" s="20" t="n">
        <v>0</v>
      </c>
      <c r="L10" s="20" t="n">
        <v>0</v>
      </c>
      <c r="M10" s="20" t="n">
        <v>0</v>
      </c>
    </row>
    <row r="11">
      <c r="A11" s="22" t="inlineStr">
        <is>
          <t>D&amp;A 증가율</t>
        </is>
      </c>
      <c r="B11" s="2" t="inlineStr">
        <is>
          <t>da_g</t>
        </is>
      </c>
      <c r="C11" s="2" t="inlineStr">
        <is>
          <t>%</t>
        </is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4" t="n">
        <v>0.08</v>
      </c>
      <c r="J11" s="24" t="n">
        <v>0.18</v>
      </c>
      <c r="K11" s="24" t="n">
        <v>0.15</v>
      </c>
      <c r="L11" s="24" t="n">
        <v>0.1</v>
      </c>
      <c r="M11" s="24" t="n">
        <v>0.08</v>
      </c>
    </row>
    <row r="12">
      <c r="A12" s="21" t="inlineStr">
        <is>
          <t>영업이익</t>
        </is>
      </c>
      <c r="B12" s="2" t="inlineStr">
        <is>
          <t>op_profit</t>
        </is>
      </c>
      <c r="C12" s="2" t="inlineStr">
        <is>
          <t>억원</t>
        </is>
      </c>
      <c r="D12" s="16">
        <f>((((D31+D25)+D37)+D43)+D23)</f>
        <v/>
      </c>
      <c r="E12" s="16">
        <f>((((E31+E25)+E37)+E43)+E23)</f>
        <v/>
      </c>
      <c r="F12" s="16">
        <f>((((F31+F25)+F37)+F43)+F23)</f>
        <v/>
      </c>
      <c r="G12" s="16">
        <f>((((G31+G25)+G37)+G43)+G23)</f>
        <v/>
      </c>
      <c r="H12" s="16">
        <f>((((H31+H25)+H37)+H43)+H23)</f>
        <v/>
      </c>
      <c r="I12" s="17">
        <f>((((I31+I25)+I37)+I43)+I23)</f>
        <v/>
      </c>
      <c r="J12" s="17">
        <f>((((J31+J25)+J37)+J43)+J23)</f>
        <v/>
      </c>
      <c r="K12" s="17">
        <f>((((K31+K25)+K37)+K43)+K23)</f>
        <v/>
      </c>
      <c r="L12" s="17">
        <f>((((L31+L25)+L37)+L43)+L23)</f>
        <v/>
      </c>
      <c r="M12" s="17">
        <f>((((M31+M25)+M37)+M43)+M23)</f>
        <v/>
      </c>
    </row>
    <row r="13">
      <c r="A13" s="22" t="inlineStr">
        <is>
          <t>지배주주 순이익 (참고)</t>
        </is>
      </c>
      <c r="B13" s="2" t="inlineStr">
        <is>
          <t>net_income</t>
        </is>
      </c>
      <c r="C13" s="2" t="inlineStr">
        <is>
          <t>억원</t>
        </is>
      </c>
      <c r="D13" s="16">
        <f>IF((D53&gt;0),D14,(((D12+D15)*(1-D16))*D17))</f>
        <v/>
      </c>
      <c r="E13" s="16">
        <f>IF((E53&gt;0),E14,(((E12+E15)*(1-E16))*E17))</f>
        <v/>
      </c>
      <c r="F13" s="16">
        <f>IF((F53&gt;0),F14,(((F12+F15)*(1-F16))*F17))</f>
        <v/>
      </c>
      <c r="G13" s="16">
        <f>IF((G53&gt;0),G14,(((G12+G15)*(1-G16))*G17))</f>
        <v/>
      </c>
      <c r="H13" s="16">
        <f>IF((H53&gt;0),H14,(((H12+H15)*(1-H16))*H17))</f>
        <v/>
      </c>
      <c r="I13" s="17">
        <f>IF((I53&gt;0),I14,(((I12+I15)*(1-I16))*I17))</f>
        <v/>
      </c>
      <c r="J13" s="17">
        <f>IF((J53&gt;0),J14,(((J12+J15)*(1-J16))*J17))</f>
        <v/>
      </c>
      <c r="K13" s="17">
        <f>IF((K53&gt;0),K14,(((K12+K15)*(1-K16))*K17))</f>
        <v/>
      </c>
      <c r="L13" s="17">
        <f>IF((L53&gt;0),L14,(((L12+L15)*(1-L16))*L17))</f>
        <v/>
      </c>
      <c r="M13" s="17">
        <f>IF((M53&gt;0),M14,(((M12+M15)*(1-M16))*M17))</f>
        <v/>
      </c>
    </row>
    <row r="14">
      <c r="A14" s="25" t="inlineStr">
        <is>
          <t>순이익 실적</t>
        </is>
      </c>
      <c r="B14" s="2" t="inlineStr">
        <is>
          <t>ni_actual</t>
        </is>
      </c>
      <c r="C14" s="2" t="inlineStr">
        <is>
          <t>억원</t>
        </is>
      </c>
      <c r="D14" s="19" t="n">
        <v>392437.91</v>
      </c>
      <c r="E14" s="19" t="n">
        <v>547300.1800000001</v>
      </c>
      <c r="F14" s="19" t="n">
        <v>144734.01</v>
      </c>
      <c r="G14" s="19" t="n">
        <v>336213.63</v>
      </c>
      <c r="H14" s="19" t="n">
        <v>442609.56</v>
      </c>
      <c r="I14" s="20" t="n">
        <v>0</v>
      </c>
      <c r="J14" s="20" t="n">
        <v>0</v>
      </c>
      <c r="K14" s="20" t="n">
        <v>0</v>
      </c>
      <c r="L14" s="20" t="n">
        <v>0</v>
      </c>
      <c r="M14" s="20" t="n">
        <v>0</v>
      </c>
    </row>
    <row r="15">
      <c r="A15" s="25" t="inlineStr">
        <is>
          <t>영업외손익</t>
        </is>
      </c>
      <c r="B15" s="2" t="inlineStr">
        <is>
          <t>nonop</t>
        </is>
      </c>
      <c r="C15" s="2" t="inlineStr">
        <is>
          <t>억원</t>
        </is>
      </c>
      <c r="D15" s="19" t="n">
        <v>17179.71</v>
      </c>
      <c r="E15" s="19" t="n">
        <v>30638.44</v>
      </c>
      <c r="F15" s="19" t="n">
        <v>44392.89</v>
      </c>
      <c r="G15" s="19" t="n">
        <v>48037.73</v>
      </c>
      <c r="H15" s="19" t="n">
        <v>58804.2</v>
      </c>
      <c r="I15" s="20" t="n">
        <v>45000</v>
      </c>
      <c r="J15" s="20" t="n">
        <v>45000</v>
      </c>
      <c r="K15" s="20" t="n">
        <v>45000</v>
      </c>
      <c r="L15" s="20" t="n">
        <v>45000</v>
      </c>
      <c r="M15" s="20" t="n">
        <v>45000</v>
      </c>
    </row>
    <row r="16">
      <c r="A16" s="25" t="inlineStr">
        <is>
          <t>실효세율</t>
        </is>
      </c>
      <c r="B16" s="2" t="inlineStr">
        <is>
          <t>tax_rate</t>
        </is>
      </c>
      <c r="C16" s="2" t="inlineStr">
        <is>
          <t>%</t>
        </is>
      </c>
      <c r="D16" s="23" t="n">
        <v>0</v>
      </c>
      <c r="E16" s="23" t="n">
        <v>0</v>
      </c>
      <c r="F16" s="23" t="n">
        <v>0</v>
      </c>
      <c r="G16" s="23" t="n">
        <v>0</v>
      </c>
      <c r="H16" s="23" t="n">
        <v>0</v>
      </c>
      <c r="I16" s="24" t="n">
        <v>0.12</v>
      </c>
      <c r="J16" s="24" t="n">
        <v>0.12</v>
      </c>
      <c r="K16" s="24" t="n">
        <v>0.12</v>
      </c>
      <c r="L16" s="24" t="n">
        <v>0.12</v>
      </c>
      <c r="M16" s="24" t="n">
        <v>0.12</v>
      </c>
    </row>
    <row r="17">
      <c r="A17" s="25" t="inlineStr">
        <is>
          <t>지배지분 비율</t>
        </is>
      </c>
      <c r="B17" s="2" t="inlineStr">
        <is>
          <t>ctrl_ratio</t>
        </is>
      </c>
      <c r="C17" s="2" t="inlineStr">
        <is>
          <t>%</t>
        </is>
      </c>
      <c r="D17" s="23" t="n">
        <v>0</v>
      </c>
      <c r="E17" s="23" t="n">
        <v>0</v>
      </c>
      <c r="F17" s="23" t="n">
        <v>0</v>
      </c>
      <c r="G17" s="23" t="n">
        <v>0</v>
      </c>
      <c r="H17" s="23" t="n">
        <v>0</v>
      </c>
      <c r="I17" s="24" t="n">
        <v>0.98</v>
      </c>
      <c r="J17" s="24" t="n">
        <v>0.98</v>
      </c>
      <c r="K17" s="24" t="n">
        <v>0.98</v>
      </c>
      <c r="L17" s="24" t="n">
        <v>0.98</v>
      </c>
      <c r="M17" s="24" t="n">
        <v>0.98</v>
      </c>
    </row>
    <row r="18">
      <c r="A18" s="25" t="inlineStr">
        <is>
          <t>EPS (참고)</t>
        </is>
      </c>
      <c r="B18" s="2" t="inlineStr">
        <is>
          <t>eps</t>
        </is>
      </c>
      <c r="C18" s="2" t="inlineStr">
        <is>
          <t>원</t>
        </is>
      </c>
      <c r="D18" s="16">
        <f>((D13/D19)*100)</f>
        <v/>
      </c>
      <c r="E18" s="16">
        <f>((E13/E19)*100)</f>
        <v/>
      </c>
      <c r="F18" s="16">
        <f>((F13/F19)*100)</f>
        <v/>
      </c>
      <c r="G18" s="16">
        <f>((G13/G19)*100)</f>
        <v/>
      </c>
      <c r="H18" s="16">
        <f>((H13/H19)*100)</f>
        <v/>
      </c>
      <c r="I18" s="17">
        <f>((I13/I19)*100)</f>
        <v/>
      </c>
      <c r="J18" s="17">
        <f>((J13/J19)*100)</f>
        <v/>
      </c>
      <c r="K18" s="17">
        <f>((K13/K19)*100)</f>
        <v/>
      </c>
      <c r="L18" s="17">
        <f>((L13/L19)*100)</f>
        <v/>
      </c>
      <c r="M18" s="17">
        <f>((M13/M19)*100)</f>
        <v/>
      </c>
    </row>
    <row r="19">
      <c r="A19" s="26" t="inlineStr">
        <is>
          <t>상장주식수</t>
        </is>
      </c>
      <c r="B19" s="2" t="inlineStr">
        <is>
          <t>shares</t>
        </is>
      </c>
      <c r="C19" s="2" t="inlineStr">
        <is>
          <t>백만주</t>
        </is>
      </c>
      <c r="D19" s="19" t="n">
        <v>6669.165308</v>
      </c>
      <c r="E19" s="19" t="n">
        <v>6669.165308</v>
      </c>
      <c r="F19" s="19" t="n">
        <v>6669.165308</v>
      </c>
      <c r="G19" s="19" t="n">
        <v>6669.165308</v>
      </c>
      <c r="H19" s="19" t="n">
        <v>6669.165308</v>
      </c>
      <c r="I19" s="20" t="n">
        <v>6669.165308</v>
      </c>
      <c r="J19" s="20" t="n">
        <v>6669.165308</v>
      </c>
      <c r="K19" s="20" t="n">
        <v>6669.165308</v>
      </c>
      <c r="L19" s="20" t="n">
        <v>6669.165308</v>
      </c>
      <c r="M19" s="20" t="n">
        <v>6669.165308</v>
      </c>
    </row>
    <row r="20">
      <c r="A20" s="26" t="inlineStr">
        <is>
          <t>DPS (참고)</t>
        </is>
      </c>
      <c r="B20" s="2" t="inlineStr">
        <is>
          <t>dps</t>
        </is>
      </c>
      <c r="C20" s="2" t="inlineStr">
        <is>
          <t>원</t>
        </is>
      </c>
      <c r="D20" s="16">
        <f>IF((D53&gt;0),D21,(D18*D22))</f>
        <v/>
      </c>
      <c r="E20" s="16">
        <f>IF((E53&gt;0),E21,(E18*E22))</f>
        <v/>
      </c>
      <c r="F20" s="16">
        <f>IF((F53&gt;0),F21,(F18*F22))</f>
        <v/>
      </c>
      <c r="G20" s="16">
        <f>IF((G53&gt;0),G21,(G18*G22))</f>
        <v/>
      </c>
      <c r="H20" s="16">
        <f>IF((H53&gt;0),H21,(H18*H22))</f>
        <v/>
      </c>
      <c r="I20" s="17">
        <f>IF((I53&gt;0),I21,(I18*I22))</f>
        <v/>
      </c>
      <c r="J20" s="17">
        <f>IF((J53&gt;0),J21,(J18*J22))</f>
        <v/>
      </c>
      <c r="K20" s="17">
        <f>IF((K53&gt;0),K21,(K18*K22))</f>
        <v/>
      </c>
      <c r="L20" s="17">
        <f>IF((L53&gt;0),L21,(L18*L22))</f>
        <v/>
      </c>
      <c r="M20" s="17">
        <f>IF((M53&gt;0),M21,(M18*M22))</f>
        <v/>
      </c>
    </row>
    <row r="21">
      <c r="A21" s="27" t="inlineStr">
        <is>
          <t>DPS 실적</t>
        </is>
      </c>
      <c r="B21" s="2" t="inlineStr">
        <is>
          <t>dps_a</t>
        </is>
      </c>
      <c r="C21" s="2" t="inlineStr">
        <is>
          <t>원</t>
        </is>
      </c>
      <c r="D21" s="19" t="n">
        <v>1444</v>
      </c>
      <c r="E21" s="19" t="n">
        <v>1444</v>
      </c>
      <c r="F21" s="19" t="n">
        <v>1444</v>
      </c>
      <c r="G21" s="19" t="n">
        <v>1446</v>
      </c>
      <c r="H21" s="19" t="n">
        <v>1668</v>
      </c>
      <c r="I21" s="20" t="n">
        <v>0</v>
      </c>
      <c r="J21" s="20" t="n">
        <v>0</v>
      </c>
      <c r="K21" s="20" t="n">
        <v>0</v>
      </c>
      <c r="L21" s="20" t="n">
        <v>0</v>
      </c>
      <c r="M21" s="20" t="n">
        <v>0</v>
      </c>
    </row>
    <row r="22">
      <c r="A22" s="27" t="inlineStr">
        <is>
          <t>배당성향</t>
        </is>
      </c>
      <c r="B22" s="2" t="inlineStr">
        <is>
          <t>payout</t>
        </is>
      </c>
      <c r="C22" s="2" t="inlineStr">
        <is>
          <t>%</t>
        </is>
      </c>
      <c r="D22" s="23" t="n">
        <v>0</v>
      </c>
      <c r="E22" s="23" t="n">
        <v>0</v>
      </c>
      <c r="F22" s="23" t="n">
        <v>0</v>
      </c>
      <c r="G22" s="23" t="n">
        <v>0</v>
      </c>
      <c r="H22" s="23" t="n">
        <v>0</v>
      </c>
      <c r="I22" s="24" t="n">
        <v>0.25</v>
      </c>
      <c r="J22" s="24" t="n">
        <v>0.25</v>
      </c>
      <c r="K22" s="24" t="n">
        <v>0.25</v>
      </c>
      <c r="L22" s="24" t="n">
        <v>0.25</v>
      </c>
      <c r="M22" s="24" t="n">
        <v>0.25</v>
      </c>
    </row>
    <row r="23">
      <c r="A23" s="22" t="inlineStr">
        <is>
          <t>영업이익 조정</t>
        </is>
      </c>
      <c r="B23" s="2" t="inlineStr">
        <is>
          <t>op_adj</t>
        </is>
      </c>
      <c r="C23" s="2" t="inlineStr">
        <is>
          <t>억원</t>
        </is>
      </c>
      <c r="D23" s="16">
        <f>IF((D53&gt;0),D24,0)</f>
        <v/>
      </c>
      <c r="E23" s="16">
        <f>IF((E53&gt;0),E24,0)</f>
        <v/>
      </c>
      <c r="F23" s="16">
        <f>IF((F53&gt;0),F24,0)</f>
        <v/>
      </c>
      <c r="G23" s="16">
        <f>IF((G53&gt;0),G24,0)</f>
        <v/>
      </c>
      <c r="H23" s="16">
        <f>IF((H53&gt;0),H24,0)</f>
        <v/>
      </c>
      <c r="I23" s="17">
        <f>IF((I53&gt;0),I24,0)</f>
        <v/>
      </c>
      <c r="J23" s="17">
        <f>IF((J53&gt;0),J24,0)</f>
        <v/>
      </c>
      <c r="K23" s="17">
        <f>IF((K53&gt;0),K24,0)</f>
        <v/>
      </c>
      <c r="L23" s="17">
        <f>IF((L53&gt;0),L24,0)</f>
        <v/>
      </c>
      <c r="M23" s="17">
        <f>IF((M53&gt;0),M24,0)</f>
        <v/>
      </c>
    </row>
    <row r="24">
      <c r="A24" s="25" t="inlineStr">
        <is>
          <t>영업이익 조정 실적</t>
        </is>
      </c>
      <c r="B24" s="2" t="inlineStr">
        <is>
          <t>op_adj_a</t>
        </is>
      </c>
      <c r="C24" s="2" t="inlineStr">
        <is>
          <t>억원</t>
        </is>
      </c>
      <c r="D24" s="19" t="n">
        <v>-11.81</v>
      </c>
      <c r="E24" s="19" t="n">
        <v>-187.75</v>
      </c>
      <c r="F24" s="19" t="n">
        <v>3215.49</v>
      </c>
      <c r="G24" s="19" t="n">
        <v>1505.69</v>
      </c>
      <c r="H24" s="19" t="n">
        <v>2429.24</v>
      </c>
      <c r="I24" s="20" t="n">
        <v>0</v>
      </c>
      <c r="J24" s="20" t="n">
        <v>0</v>
      </c>
      <c r="K24" s="20" t="n">
        <v>0</v>
      </c>
      <c r="L24" s="20" t="n">
        <v>0</v>
      </c>
      <c r="M24" s="20" t="n">
        <v>0</v>
      </c>
    </row>
    <row r="25">
      <c r="A25" s="22" t="inlineStr">
        <is>
          <t>DS 영업이익</t>
        </is>
      </c>
      <c r="B25" s="2" t="inlineStr">
        <is>
          <t>ds_op</t>
        </is>
      </c>
      <c r="C25" s="2" t="inlineStr">
        <is>
          <t>억원</t>
        </is>
      </c>
      <c r="D25" s="16">
        <f>IF((D53&gt;0),D26,(D28*D27))</f>
        <v/>
      </c>
      <c r="E25" s="16">
        <f>IF((E53&gt;0),E26,(E28*E27))</f>
        <v/>
      </c>
      <c r="F25" s="16">
        <f>IF((F53&gt;0),F26,(F28*F27))</f>
        <v/>
      </c>
      <c r="G25" s="16">
        <f>IF((G53&gt;0),G26,(G28*G27))</f>
        <v/>
      </c>
      <c r="H25" s="16">
        <f>IF((H53&gt;0),H26,(H28*H27))</f>
        <v/>
      </c>
      <c r="I25" s="17">
        <f>IF((I53&gt;0),I26,(I28*I27))</f>
        <v/>
      </c>
      <c r="J25" s="17">
        <f>IF((J53&gt;0),J26,(J28*J27))</f>
        <v/>
      </c>
      <c r="K25" s="17">
        <f>IF((K53&gt;0),K26,(K28*K27))</f>
        <v/>
      </c>
      <c r="L25" s="17">
        <f>IF((L53&gt;0),L26,(L28*L27))</f>
        <v/>
      </c>
      <c r="M25" s="17">
        <f>IF((M53&gt;0),M26,(M28*M27))</f>
        <v/>
      </c>
    </row>
    <row r="26">
      <c r="A26" s="25" t="inlineStr">
        <is>
          <t>DS 영업이익 실적</t>
        </is>
      </c>
      <c r="B26" s="2" t="inlineStr">
        <is>
          <t>ds_op_a</t>
        </is>
      </c>
      <c r="C26" s="2" t="inlineStr">
        <is>
          <t>억원</t>
        </is>
      </c>
      <c r="D26" s="19" t="n">
        <v>291920.21</v>
      </c>
      <c r="E26" s="19" t="n">
        <v>238158.1</v>
      </c>
      <c r="F26" s="19" t="n">
        <v>-148794.58</v>
      </c>
      <c r="G26" s="19" t="n">
        <v>150944.86</v>
      </c>
      <c r="H26" s="19" t="n">
        <v>248580.75</v>
      </c>
      <c r="I26" s="20" t="n">
        <v>0</v>
      </c>
      <c r="J26" s="20" t="n">
        <v>0</v>
      </c>
      <c r="K26" s="20" t="n">
        <v>0</v>
      </c>
      <c r="L26" s="20" t="n">
        <v>0</v>
      </c>
      <c r="M26" s="20" t="n">
        <v>0</v>
      </c>
    </row>
    <row r="27">
      <c r="A27" s="25" t="inlineStr">
        <is>
          <t>DS 영업이익률</t>
        </is>
      </c>
      <c r="B27" s="2" t="inlineStr">
        <is>
          <t>ds_opm</t>
        </is>
      </c>
      <c r="C27" s="2" t="inlineStr">
        <is>
          <t>%</t>
        </is>
      </c>
      <c r="D27" s="23" t="n">
        <v>0</v>
      </c>
      <c r="E27" s="23" t="n">
        <v>0</v>
      </c>
      <c r="F27" s="23" t="n">
        <v>0</v>
      </c>
      <c r="G27" s="23" t="n">
        <v>0</v>
      </c>
      <c r="H27" s="23" t="n">
        <v>0</v>
      </c>
      <c r="I27" s="24" t="n">
        <v>0.6899999999999999</v>
      </c>
      <c r="J27" s="24" t="n">
        <v>0.6</v>
      </c>
      <c r="K27" s="24" t="n">
        <v>0.47</v>
      </c>
      <c r="L27" s="24" t="n">
        <v>0.41</v>
      </c>
      <c r="M27" s="24" t="n">
        <v>0.4</v>
      </c>
    </row>
    <row r="28">
      <c r="A28" s="25" t="inlineStr">
        <is>
          <t>DS 매출</t>
        </is>
      </c>
      <c r="B28" s="2" t="inlineStr">
        <is>
          <t>ds_rev</t>
        </is>
      </c>
      <c r="C28" s="2" t="inlineStr">
        <is>
          <t>억원</t>
        </is>
      </c>
      <c r="D28" s="16">
        <f>IF((D53&gt;0),D29,(0*(1+D30)))</f>
        <v/>
      </c>
      <c r="E28" s="16">
        <f>IF((E53&gt;0),E29,(D28*(1+E30)))</f>
        <v/>
      </c>
      <c r="F28" s="16">
        <f>IF((F53&gt;0),F29,(E28*(1+F30)))</f>
        <v/>
      </c>
      <c r="G28" s="16">
        <f>IF((G53&gt;0),G29,(F28*(1+G30)))</f>
        <v/>
      </c>
      <c r="H28" s="16">
        <f>IF((H53&gt;0),H29,(G28*(1+H30)))</f>
        <v/>
      </c>
      <c r="I28" s="17">
        <f>IF((I53&gt;0),I29,(H28*(1+I30)))</f>
        <v/>
      </c>
      <c r="J28" s="17">
        <f>IF((J53&gt;0),J29,(I28*(1+J30)))</f>
        <v/>
      </c>
      <c r="K28" s="17">
        <f>IF((K53&gt;0),K29,(J28*(1+K30)))</f>
        <v/>
      </c>
      <c r="L28" s="17">
        <f>IF((L53&gt;0),L29,(K28*(1+L30)))</f>
        <v/>
      </c>
      <c r="M28" s="17">
        <f>IF((M53&gt;0),M29,(L28*(1+M30)))</f>
        <v/>
      </c>
    </row>
    <row r="29">
      <c r="A29" s="26" t="inlineStr">
        <is>
          <t>DS 매출 실적</t>
        </is>
      </c>
      <c r="B29" s="2" t="inlineStr">
        <is>
          <t>ds_rev_a</t>
        </is>
      </c>
      <c r="C29" s="2" t="inlineStr">
        <is>
          <t>억원</t>
        </is>
      </c>
      <c r="D29" s="19" t="n">
        <v>953871.73</v>
      </c>
      <c r="E29" s="19" t="n">
        <v>984552.7</v>
      </c>
      <c r="F29" s="19" t="n">
        <v>665944.71</v>
      </c>
      <c r="G29" s="19" t="n">
        <v>1110659.5</v>
      </c>
      <c r="H29" s="19" t="n">
        <v>1301281.62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</row>
    <row r="30">
      <c r="A30" s="26" t="inlineStr">
        <is>
          <t>DS 매출 성장률</t>
        </is>
      </c>
      <c r="B30" s="2" t="inlineStr">
        <is>
          <t>ds_g</t>
        </is>
      </c>
      <c r="C30" s="2" t="inlineStr">
        <is>
          <t>%</t>
        </is>
      </c>
      <c r="D30" s="23" t="n">
        <v>0</v>
      </c>
      <c r="E30" s="23" t="n">
        <v>0</v>
      </c>
      <c r="F30" s="23" t="n">
        <v>0</v>
      </c>
      <c r="G30" s="23" t="n">
        <v>0</v>
      </c>
      <c r="H30" s="23" t="n">
        <v>0</v>
      </c>
      <c r="I30" s="24" t="n">
        <v>2.57</v>
      </c>
      <c r="J30" s="24" t="n">
        <v>0.08</v>
      </c>
      <c r="K30" s="24" t="n">
        <v>-0.12</v>
      </c>
      <c r="L30" s="24" t="n">
        <v>-0.03</v>
      </c>
      <c r="M30" s="24" t="n">
        <v>0.05</v>
      </c>
    </row>
    <row r="31">
      <c r="A31" s="22" t="inlineStr">
        <is>
          <t>DX 영업이익</t>
        </is>
      </c>
      <c r="B31" s="2" t="inlineStr">
        <is>
          <t>dx_op</t>
        </is>
      </c>
      <c r="C31" s="2" t="inlineStr">
        <is>
          <t>억원</t>
        </is>
      </c>
      <c r="D31" s="16">
        <f>IF((D53&gt;0),D32,(D34*D33))</f>
        <v/>
      </c>
      <c r="E31" s="16">
        <f>IF((E53&gt;0),E32,(E34*E33))</f>
        <v/>
      </c>
      <c r="F31" s="16">
        <f>IF((F53&gt;0),F32,(F34*F33))</f>
        <v/>
      </c>
      <c r="G31" s="16">
        <f>IF((G53&gt;0),G32,(G34*G33))</f>
        <v/>
      </c>
      <c r="H31" s="16">
        <f>IF((H53&gt;0),H32,(H34*H33))</f>
        <v/>
      </c>
      <c r="I31" s="17">
        <f>IF((I53&gt;0),I32,(I34*I33))</f>
        <v/>
      </c>
      <c r="J31" s="17">
        <f>IF((J53&gt;0),J32,(J34*J33))</f>
        <v/>
      </c>
      <c r="K31" s="17">
        <f>IF((K53&gt;0),K32,(K34*K33))</f>
        <v/>
      </c>
      <c r="L31" s="17">
        <f>IF((L53&gt;0),L32,(L34*L33))</f>
        <v/>
      </c>
      <c r="M31" s="17">
        <f>IF((M53&gt;0),M32,(M34*M33))</f>
        <v/>
      </c>
    </row>
    <row r="32">
      <c r="A32" s="25" t="inlineStr">
        <is>
          <t>DX 영업이익 실적</t>
        </is>
      </c>
      <c r="B32" s="2" t="inlineStr">
        <is>
          <t>dx_op_a</t>
        </is>
      </c>
      <c r="C32" s="2" t="inlineStr">
        <is>
          <t>억원</t>
        </is>
      </c>
      <c r="D32" s="19" t="n">
        <v>173865.54</v>
      </c>
      <c r="E32" s="19" t="n">
        <v>127460.74</v>
      </c>
      <c r="F32" s="19" t="n">
        <v>143847.05</v>
      </c>
      <c r="G32" s="19" t="n">
        <v>124398.97</v>
      </c>
      <c r="H32" s="19" t="n">
        <v>128526.5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</row>
    <row r="33">
      <c r="A33" s="25" t="inlineStr">
        <is>
          <t>DX 영업이익률</t>
        </is>
      </c>
      <c r="B33" s="2" t="inlineStr">
        <is>
          <t>dx_opm</t>
        </is>
      </c>
      <c r="C33" s="2" t="inlineStr">
        <is>
          <t>%</t>
        </is>
      </c>
      <c r="D33" s="23" t="n">
        <v>0</v>
      </c>
      <c r="E33" s="23" t="n">
        <v>0</v>
      </c>
      <c r="F33" s="23" t="n">
        <v>0</v>
      </c>
      <c r="G33" s="23" t="n">
        <v>0</v>
      </c>
      <c r="H33" s="23" t="n">
        <v>0</v>
      </c>
      <c r="I33" s="24" t="n">
        <v>0.021</v>
      </c>
      <c r="J33" s="24" t="n">
        <v>0.03</v>
      </c>
      <c r="K33" s="24" t="n">
        <v>0.035</v>
      </c>
      <c r="L33" s="24" t="n">
        <v>0.04</v>
      </c>
      <c r="M33" s="24" t="n">
        <v>0.04</v>
      </c>
    </row>
    <row r="34">
      <c r="A34" s="25" t="inlineStr">
        <is>
          <t>DX 매출</t>
        </is>
      </c>
      <c r="B34" s="2" t="inlineStr">
        <is>
          <t>dx_rev</t>
        </is>
      </c>
      <c r="C34" s="2" t="inlineStr">
        <is>
          <t>억원</t>
        </is>
      </c>
      <c r="D34" s="16">
        <f>IF((D53&gt;0),D35,(0*(1+D36)))</f>
        <v/>
      </c>
      <c r="E34" s="16">
        <f>IF((E53&gt;0),E35,(D34*(1+E36)))</f>
        <v/>
      </c>
      <c r="F34" s="16">
        <f>IF((F53&gt;0),F35,(E34*(1+F36)))</f>
        <v/>
      </c>
      <c r="G34" s="16">
        <f>IF((G53&gt;0),G35,(F34*(1+G36)))</f>
        <v/>
      </c>
      <c r="H34" s="16">
        <f>IF((H53&gt;0),H35,(G34*(1+H36)))</f>
        <v/>
      </c>
      <c r="I34" s="17">
        <f>IF((I53&gt;0),I35,(H34*(1+I36)))</f>
        <v/>
      </c>
      <c r="J34" s="17">
        <f>IF((J53&gt;0),J35,(I34*(1+J36)))</f>
        <v/>
      </c>
      <c r="K34" s="17">
        <f>IF((K53&gt;0),K35,(J34*(1+K36)))</f>
        <v/>
      </c>
      <c r="L34" s="17">
        <f>IF((L53&gt;0),L35,(K34*(1+L36)))</f>
        <v/>
      </c>
      <c r="M34" s="17">
        <f>IF((M53&gt;0),M35,(L34*(1+M36)))</f>
        <v/>
      </c>
    </row>
    <row r="35">
      <c r="A35" s="26" t="inlineStr">
        <is>
          <t>DX 매출 실적</t>
        </is>
      </c>
      <c r="B35" s="2" t="inlineStr">
        <is>
          <t>dx_rev_a</t>
        </is>
      </c>
      <c r="C35" s="2" t="inlineStr">
        <is>
          <t>억원</t>
        </is>
      </c>
      <c r="D35" s="19" t="n">
        <v>1662594.37</v>
      </c>
      <c r="E35" s="19" t="n">
        <v>1824897.2</v>
      </c>
      <c r="F35" s="19" t="n">
        <v>1699923.37</v>
      </c>
      <c r="G35" s="19" t="n">
        <v>1748876.83</v>
      </c>
      <c r="H35" s="19" t="n">
        <v>1879673.46</v>
      </c>
      <c r="I35" s="20" t="n">
        <v>0</v>
      </c>
      <c r="J35" s="20" t="n">
        <v>0</v>
      </c>
      <c r="K35" s="20" t="n">
        <v>0</v>
      </c>
      <c r="L35" s="20" t="n">
        <v>0</v>
      </c>
      <c r="M35" s="20" t="n">
        <v>0</v>
      </c>
    </row>
    <row r="36">
      <c r="A36" s="26" t="inlineStr">
        <is>
          <t>DX 매출 성장률</t>
        </is>
      </c>
      <c r="B36" s="2" t="inlineStr">
        <is>
          <t>dx_g</t>
        </is>
      </c>
      <c r="C36" s="2" t="inlineStr">
        <is>
          <t>%</t>
        </is>
      </c>
      <c r="D36" s="23" t="n">
        <v>0</v>
      </c>
      <c r="E36" s="23" t="n">
        <v>0</v>
      </c>
      <c r="F36" s="23" t="n">
        <v>0</v>
      </c>
      <c r="G36" s="23" t="n">
        <v>0</v>
      </c>
      <c r="H36" s="23" t="n">
        <v>0</v>
      </c>
      <c r="I36" s="24" t="n">
        <v>0.09</v>
      </c>
      <c r="J36" s="24" t="n">
        <v>0.03</v>
      </c>
      <c r="K36" s="24" t="n">
        <v>0.02</v>
      </c>
      <c r="L36" s="24" t="n">
        <v>0.02</v>
      </c>
      <c r="M36" s="24" t="n">
        <v>0.02</v>
      </c>
    </row>
    <row r="37">
      <c r="A37" s="22" t="inlineStr">
        <is>
          <t>SDC 영업이익</t>
        </is>
      </c>
      <c r="B37" s="2" t="inlineStr">
        <is>
          <t>sdc_op</t>
        </is>
      </c>
      <c r="C37" s="2" t="inlineStr">
        <is>
          <t>억원</t>
        </is>
      </c>
      <c r="D37" s="16">
        <f>IF((D53&gt;0),D38,(D40*D39))</f>
        <v/>
      </c>
      <c r="E37" s="16">
        <f>IF((E53&gt;0),E38,(E40*E39))</f>
        <v/>
      </c>
      <c r="F37" s="16">
        <f>IF((F53&gt;0),F38,(F40*F39))</f>
        <v/>
      </c>
      <c r="G37" s="16">
        <f>IF((G53&gt;0),G38,(G40*G39))</f>
        <v/>
      </c>
      <c r="H37" s="16">
        <f>IF((H53&gt;0),H38,(H40*H39))</f>
        <v/>
      </c>
      <c r="I37" s="17">
        <f>IF((I53&gt;0),I38,(I40*I39))</f>
        <v/>
      </c>
      <c r="J37" s="17">
        <f>IF((J53&gt;0),J38,(J40*J39))</f>
        <v/>
      </c>
      <c r="K37" s="17">
        <f>IF((K53&gt;0),K38,(K40*K39))</f>
        <v/>
      </c>
      <c r="L37" s="17">
        <f>IF((L53&gt;0),L38,(L40*L39))</f>
        <v/>
      </c>
      <c r="M37" s="17">
        <f>IF((M53&gt;0),M38,(M40*M39))</f>
        <v/>
      </c>
    </row>
    <row r="38">
      <c r="A38" s="25" t="inlineStr">
        <is>
          <t>SDC 영업이익 실적</t>
        </is>
      </c>
      <c r="B38" s="2" t="inlineStr">
        <is>
          <t>sdc_op_a</t>
        </is>
      </c>
      <c r="C38" s="2" t="inlineStr">
        <is>
          <t>억원</t>
        </is>
      </c>
      <c r="D38" s="19" t="n">
        <v>44573.65</v>
      </c>
      <c r="E38" s="19" t="n">
        <v>59529.73</v>
      </c>
      <c r="F38" s="19" t="n">
        <v>55664.78</v>
      </c>
      <c r="G38" s="19" t="n">
        <v>37334.29</v>
      </c>
      <c r="H38" s="19" t="n">
        <v>41163.08</v>
      </c>
      <c r="I38" s="20" t="n">
        <v>0</v>
      </c>
      <c r="J38" s="20" t="n">
        <v>0</v>
      </c>
      <c r="K38" s="20" t="n">
        <v>0</v>
      </c>
      <c r="L38" s="20" t="n">
        <v>0</v>
      </c>
      <c r="M38" s="20" t="n">
        <v>0</v>
      </c>
    </row>
    <row r="39">
      <c r="A39" s="25" t="inlineStr">
        <is>
          <t>SDC 영업이익률</t>
        </is>
      </c>
      <c r="B39" s="2" t="inlineStr">
        <is>
          <t>sdc_opm</t>
        </is>
      </c>
      <c r="C39" s="2" t="inlineStr">
        <is>
          <t>%</t>
        </is>
      </c>
      <c r="D39" s="23" t="n">
        <v>0</v>
      </c>
      <c r="E39" s="23" t="n">
        <v>0</v>
      </c>
      <c r="F39" s="23" t="n">
        <v>0</v>
      </c>
      <c r="G39" s="23" t="n">
        <v>0</v>
      </c>
      <c r="H39" s="23" t="n">
        <v>0</v>
      </c>
      <c r="I39" s="24" t="n">
        <v>0.074</v>
      </c>
      <c r="J39" s="24" t="n">
        <v>0.09</v>
      </c>
      <c r="K39" s="24" t="n">
        <v>0.1</v>
      </c>
      <c r="L39" s="24" t="n">
        <v>0.11</v>
      </c>
      <c r="M39" s="24" t="n">
        <v>0.11</v>
      </c>
    </row>
    <row r="40">
      <c r="A40" s="25" t="inlineStr">
        <is>
          <t>SDC 매출</t>
        </is>
      </c>
      <c r="B40" s="2" t="inlineStr">
        <is>
          <t>sdc_rev</t>
        </is>
      </c>
      <c r="C40" s="2" t="inlineStr">
        <is>
          <t>억원</t>
        </is>
      </c>
      <c r="D40" s="16">
        <f>IF((D53&gt;0),D41,(0*(1+D42)))</f>
        <v/>
      </c>
      <c r="E40" s="16">
        <f>IF((E53&gt;0),E41,(D40*(1+E42)))</f>
        <v/>
      </c>
      <c r="F40" s="16">
        <f>IF((F53&gt;0),F41,(E40*(1+F42)))</f>
        <v/>
      </c>
      <c r="G40" s="16">
        <f>IF((G53&gt;0),G41,(F40*(1+G42)))</f>
        <v/>
      </c>
      <c r="H40" s="16">
        <f>IF((H53&gt;0),H41,(G40*(1+H42)))</f>
        <v/>
      </c>
      <c r="I40" s="17">
        <f>IF((I53&gt;0),I41,(H40*(1+I42)))</f>
        <v/>
      </c>
      <c r="J40" s="17">
        <f>IF((J53&gt;0),J41,(I40*(1+J42)))</f>
        <v/>
      </c>
      <c r="K40" s="17">
        <f>IF((K53&gt;0),K41,(J40*(1+K42)))</f>
        <v/>
      </c>
      <c r="L40" s="17">
        <f>IF((L53&gt;0),L41,(K40*(1+L42)))</f>
        <v/>
      </c>
      <c r="M40" s="17">
        <f>IF((M53&gt;0),M41,(L40*(1+M42)))</f>
        <v/>
      </c>
    </row>
    <row r="41">
      <c r="A41" s="26" t="inlineStr">
        <is>
          <t>SDC 매출 실적</t>
        </is>
      </c>
      <c r="B41" s="2" t="inlineStr">
        <is>
          <t>sdc_rev_a</t>
        </is>
      </c>
      <c r="C41" s="2" t="inlineStr">
        <is>
          <t>억원</t>
        </is>
      </c>
      <c r="D41" s="19" t="n">
        <v>317125.26</v>
      </c>
      <c r="E41" s="19" t="n">
        <v>343826.19</v>
      </c>
      <c r="F41" s="19" t="n">
        <v>309753.73</v>
      </c>
      <c r="G41" s="19" t="n">
        <v>291578.2</v>
      </c>
      <c r="H41" s="19" t="n">
        <v>298416.61</v>
      </c>
      <c r="I41" s="20" t="n">
        <v>0</v>
      </c>
      <c r="J41" s="20" t="n">
        <v>0</v>
      </c>
      <c r="K41" s="20" t="n">
        <v>0</v>
      </c>
      <c r="L41" s="20" t="n">
        <v>0</v>
      </c>
      <c r="M41" s="20" t="n">
        <v>0</v>
      </c>
    </row>
    <row r="42">
      <c r="A42" s="26" t="inlineStr">
        <is>
          <t>SDC 매출 성장률</t>
        </is>
      </c>
      <c r="B42" s="2" t="inlineStr">
        <is>
          <t>sdc_g</t>
        </is>
      </c>
      <c r="C42" s="2" t="inlineStr">
        <is>
          <t>%</t>
        </is>
      </c>
      <c r="D42" s="23" t="n">
        <v>0</v>
      </c>
      <c r="E42" s="23" t="n">
        <v>0</v>
      </c>
      <c r="F42" s="23" t="n">
        <v>0</v>
      </c>
      <c r="G42" s="23" t="n">
        <v>0</v>
      </c>
      <c r="H42" s="23" t="n">
        <v>0</v>
      </c>
      <c r="I42" s="24" t="n">
        <v>-0.03</v>
      </c>
      <c r="J42" s="24" t="n">
        <v>0.05</v>
      </c>
      <c r="K42" s="24" t="n">
        <v>0.03</v>
      </c>
      <c r="L42" s="24" t="n">
        <v>0.02</v>
      </c>
      <c r="M42" s="24" t="n">
        <v>0.02</v>
      </c>
    </row>
    <row r="43">
      <c r="A43" s="22" t="inlineStr">
        <is>
          <t>Harman 영업이익</t>
        </is>
      </c>
      <c r="B43" s="2" t="inlineStr">
        <is>
          <t>harman_op</t>
        </is>
      </c>
      <c r="C43" s="2" t="inlineStr">
        <is>
          <t>억원</t>
        </is>
      </c>
      <c r="D43" s="16">
        <f>IF((D53&gt;0),D44,(D46*D45))</f>
        <v/>
      </c>
      <c r="E43" s="16">
        <f>IF((E53&gt;0),E44,(E46*E45))</f>
        <v/>
      </c>
      <c r="F43" s="16">
        <f>IF((F53&gt;0),F44,(F46*F45))</f>
        <v/>
      </c>
      <c r="G43" s="16">
        <f>IF((G53&gt;0),G44,(G46*G45))</f>
        <v/>
      </c>
      <c r="H43" s="16">
        <f>IF((H53&gt;0),H44,(H46*H45))</f>
        <v/>
      </c>
      <c r="I43" s="17">
        <f>IF((I53&gt;0),I44,(I46*I45))</f>
        <v/>
      </c>
      <c r="J43" s="17">
        <f>IF((J53&gt;0),J44,(J46*J45))</f>
        <v/>
      </c>
      <c r="K43" s="17">
        <f>IF((K53&gt;0),K44,(K46*K45))</f>
        <v/>
      </c>
      <c r="L43" s="17">
        <f>IF((L53&gt;0),L44,(L46*L45))</f>
        <v/>
      </c>
      <c r="M43" s="17">
        <f>IF((M53&gt;0),M44,(M46*M45))</f>
        <v/>
      </c>
    </row>
    <row r="44">
      <c r="A44" s="25" t="inlineStr">
        <is>
          <t>Harman 영업이익 실적</t>
        </is>
      </c>
      <c r="B44" s="2" t="inlineStr">
        <is>
          <t>harman_op_a</t>
        </is>
      </c>
      <c r="C44" s="2" t="inlineStr">
        <is>
          <t>억원</t>
        </is>
      </c>
      <c r="D44" s="19" t="n">
        <v>5990.97</v>
      </c>
      <c r="E44" s="19" t="n">
        <v>8805.48</v>
      </c>
      <c r="F44" s="19" t="n">
        <v>11737.02</v>
      </c>
      <c r="G44" s="19" t="n">
        <v>13075.8</v>
      </c>
      <c r="H44" s="19" t="n">
        <v>15310.94</v>
      </c>
      <c r="I44" s="20" t="n">
        <v>0</v>
      </c>
      <c r="J44" s="20" t="n">
        <v>0</v>
      </c>
      <c r="K44" s="20" t="n">
        <v>0</v>
      </c>
      <c r="L44" s="20" t="n">
        <v>0</v>
      </c>
      <c r="M44" s="20" t="n">
        <v>0</v>
      </c>
    </row>
    <row r="45">
      <c r="A45" s="25" t="inlineStr">
        <is>
          <t>Harman 영업이익률</t>
        </is>
      </c>
      <c r="B45" s="2" t="inlineStr">
        <is>
          <t>harman_opm</t>
        </is>
      </c>
      <c r="C45" s="2" t="inlineStr">
        <is>
          <t>%</t>
        </is>
      </c>
      <c r="D45" s="23" t="n">
        <v>0</v>
      </c>
      <c r="E45" s="23" t="n">
        <v>0</v>
      </c>
      <c r="F45" s="23" t="n">
        <v>0</v>
      </c>
      <c r="G45" s="23" t="n">
        <v>0</v>
      </c>
      <c r="H45" s="23" t="n">
        <v>0</v>
      </c>
      <c r="I45" s="24" t="n">
        <v>0.076</v>
      </c>
      <c r="J45" s="24" t="n">
        <v>0.08500000000000001</v>
      </c>
      <c r="K45" s="24" t="n">
        <v>0.09</v>
      </c>
      <c r="L45" s="24" t="n">
        <v>0.09</v>
      </c>
      <c r="M45" s="24" t="n">
        <v>0.09</v>
      </c>
    </row>
    <row r="46">
      <c r="A46" s="25" t="inlineStr">
        <is>
          <t>Harman 매출</t>
        </is>
      </c>
      <c r="B46" s="2" t="inlineStr">
        <is>
          <t>harman_rev</t>
        </is>
      </c>
      <c r="C46" s="2" t="inlineStr">
        <is>
          <t>억원</t>
        </is>
      </c>
      <c r="D46" s="16">
        <f>IF((D53&gt;0),D47,(0*(1+D48)))</f>
        <v/>
      </c>
      <c r="E46" s="16">
        <f>IF((E53&gt;0),E47,(D46*(1+E48)))</f>
        <v/>
      </c>
      <c r="F46" s="16">
        <f>IF((F53&gt;0),F47,(E46*(1+F48)))</f>
        <v/>
      </c>
      <c r="G46" s="16">
        <f>IF((G53&gt;0),G47,(F46*(1+G48)))</f>
        <v/>
      </c>
      <c r="H46" s="16">
        <f>IF((H53&gt;0),H47,(G46*(1+H48)))</f>
        <v/>
      </c>
      <c r="I46" s="17">
        <f>IF((I53&gt;0),I47,(H46*(1+I48)))</f>
        <v/>
      </c>
      <c r="J46" s="17">
        <f>IF((J53&gt;0),J47,(I46*(1+J48)))</f>
        <v/>
      </c>
      <c r="K46" s="17">
        <f>IF((K53&gt;0),K47,(J46*(1+K48)))</f>
        <v/>
      </c>
      <c r="L46" s="17">
        <f>IF((L53&gt;0),L47,(K46*(1+L48)))</f>
        <v/>
      </c>
      <c r="M46" s="17">
        <f>IF((M53&gt;0),M47,(L46*(1+M48)))</f>
        <v/>
      </c>
    </row>
    <row r="47">
      <c r="A47" s="26" t="inlineStr">
        <is>
          <t>Harman 매출 실적</t>
        </is>
      </c>
      <c r="B47" s="2" t="inlineStr">
        <is>
          <t>harman_rev_a</t>
        </is>
      </c>
      <c r="C47" s="2" t="inlineStr">
        <is>
          <t>억원</t>
        </is>
      </c>
      <c r="D47" s="19" t="n">
        <v>100399.22</v>
      </c>
      <c r="E47" s="19" t="n">
        <v>132136.94</v>
      </c>
      <c r="F47" s="19" t="n">
        <v>143884.54</v>
      </c>
      <c r="G47" s="19" t="n">
        <v>142749.3</v>
      </c>
      <c r="H47" s="19" t="n">
        <v>157833.25</v>
      </c>
      <c r="I47" s="20" t="n">
        <v>0</v>
      </c>
      <c r="J47" s="20" t="n">
        <v>0</v>
      </c>
      <c r="K47" s="20" t="n">
        <v>0</v>
      </c>
      <c r="L47" s="20" t="n">
        <v>0</v>
      </c>
      <c r="M47" s="20" t="n">
        <v>0</v>
      </c>
    </row>
    <row r="48">
      <c r="A48" s="26" t="inlineStr">
        <is>
          <t>Harman 매출 성장률</t>
        </is>
      </c>
      <c r="B48" s="2" t="inlineStr">
        <is>
          <t>harman_g</t>
        </is>
      </c>
      <c r="C48" s="2" t="inlineStr">
        <is>
          <t>%</t>
        </is>
      </c>
      <c r="D48" s="23" t="n">
        <v>0</v>
      </c>
      <c r="E48" s="23" t="n">
        <v>0</v>
      </c>
      <c r="F48" s="23" t="n">
        <v>0</v>
      </c>
      <c r="G48" s="23" t="n">
        <v>0</v>
      </c>
      <c r="H48" s="23" t="n">
        <v>0</v>
      </c>
      <c r="I48" s="24" t="n">
        <v>0.09</v>
      </c>
      <c r="J48" s="24" t="n">
        <v>0.06</v>
      </c>
      <c r="K48" s="24" t="n">
        <v>0.05</v>
      </c>
      <c r="L48" s="24" t="n">
        <v>0.04</v>
      </c>
      <c r="M48" s="24" t="n">
        <v>0.03</v>
      </c>
    </row>
    <row r="49">
      <c r="A49" s="22" t="inlineStr">
        <is>
          <t>매출</t>
        </is>
      </c>
      <c r="B49" s="2" t="inlineStr">
        <is>
          <t>total_revenue</t>
        </is>
      </c>
      <c r="C49" s="2" t="inlineStr">
        <is>
          <t>억원</t>
        </is>
      </c>
      <c r="D49" s="16">
        <f>((((D34+D28)+D40)+D46)+D50)</f>
        <v/>
      </c>
      <c r="E49" s="16">
        <f>((((E34+E28)+E40)+E46)+E50)</f>
        <v/>
      </c>
      <c r="F49" s="16">
        <f>((((F34+F28)+F40)+F46)+F50)</f>
        <v/>
      </c>
      <c r="G49" s="16">
        <f>((((G34+G28)+G40)+G46)+G50)</f>
        <v/>
      </c>
      <c r="H49" s="16">
        <f>((((H34+H28)+H40)+H46)+H50)</f>
        <v/>
      </c>
      <c r="I49" s="17">
        <f>((((I34+I28)+I40)+I46)+I50)</f>
        <v/>
      </c>
      <c r="J49" s="17">
        <f>((((J34+J28)+J40)+J46)+J50)</f>
        <v/>
      </c>
      <c r="K49" s="17">
        <f>((((K34+K28)+K40)+K46)+K50)</f>
        <v/>
      </c>
      <c r="L49" s="17">
        <f>((((L34+L28)+L40)+L46)+L50)</f>
        <v/>
      </c>
      <c r="M49" s="17">
        <f>((((M34+M28)+M40)+M46)+M50)</f>
        <v/>
      </c>
    </row>
    <row r="50">
      <c r="A50" s="25" t="inlineStr">
        <is>
          <t>내부거래 조정</t>
        </is>
      </c>
      <c r="B50" s="2" t="inlineStr">
        <is>
          <t>rev_adj</t>
        </is>
      </c>
      <c r="C50" s="2" t="inlineStr">
        <is>
          <t>억원</t>
        </is>
      </c>
      <c r="D50" s="16">
        <f>IF((D53&gt;0),D51,((((D34+D28)+D40)+D46)*D52))</f>
        <v/>
      </c>
      <c r="E50" s="16">
        <f>IF((E53&gt;0),E51,((((E34+E28)+E40)+E46)*E52))</f>
        <v/>
      </c>
      <c r="F50" s="16">
        <f>IF((F53&gt;0),F51,((((F34+F28)+F40)+F46)*F52))</f>
        <v/>
      </c>
      <c r="G50" s="16">
        <f>IF((G53&gt;0),G51,((((G34+G28)+G40)+G46)*G52))</f>
        <v/>
      </c>
      <c r="H50" s="16">
        <f>IF((H53&gt;0),H51,((((H34+H28)+H40)+H46)*H52))</f>
        <v/>
      </c>
      <c r="I50" s="17">
        <f>IF((I53&gt;0),I51,((((I34+I28)+I40)+I46)*I52))</f>
        <v/>
      </c>
      <c r="J50" s="17">
        <f>IF((J53&gt;0),J51,((((J34+J28)+J40)+J46)*J52))</f>
        <v/>
      </c>
      <c r="K50" s="17">
        <f>IF((K53&gt;0),K51,((((K34+K28)+K40)+K46)*K52))</f>
        <v/>
      </c>
      <c r="L50" s="17">
        <f>IF((L53&gt;0),L51,((((L34+L28)+L40)+L46)*L52))</f>
        <v/>
      </c>
      <c r="M50" s="17">
        <f>IF((M53&gt;0),M51,((((M34+M28)+M40)+M46)*M52))</f>
        <v/>
      </c>
    </row>
    <row r="51">
      <c r="A51" s="26" t="inlineStr">
        <is>
          <t>조정 실적</t>
        </is>
      </c>
      <c r="B51" s="2" t="inlineStr">
        <is>
          <t>rev_adj_a</t>
        </is>
      </c>
      <c r="C51" s="2" t="inlineStr">
        <is>
          <t>억원</t>
        </is>
      </c>
      <c r="D51" s="19" t="n">
        <v>-237942.59</v>
      </c>
      <c r="E51" s="19" t="n">
        <v>-263099.43</v>
      </c>
      <c r="F51" s="19" t="n">
        <v>-230151.41</v>
      </c>
      <c r="G51" s="19" t="n">
        <v>-285154.8</v>
      </c>
      <c r="H51" s="19" t="n">
        <v>-301145.56</v>
      </c>
      <c r="I51" s="20" t="n">
        <v>0</v>
      </c>
      <c r="J51" s="20" t="n">
        <v>0</v>
      </c>
      <c r="K51" s="20" t="n">
        <v>0</v>
      </c>
      <c r="L51" s="20" t="n">
        <v>0</v>
      </c>
      <c r="M51" s="20" t="n">
        <v>0</v>
      </c>
    </row>
    <row r="52">
      <c r="A52" s="26" t="inlineStr">
        <is>
          <t>조정률</t>
        </is>
      </c>
      <c r="B52" s="2" t="inlineStr">
        <is>
          <t>adj_ratio</t>
        </is>
      </c>
      <c r="C52" s="2" t="inlineStr">
        <is>
          <t>%</t>
        </is>
      </c>
      <c r="D52" s="23" t="n">
        <v>0</v>
      </c>
      <c r="E52" s="23" t="n">
        <v>0</v>
      </c>
      <c r="F52" s="23" t="n">
        <v>0</v>
      </c>
      <c r="G52" s="23" t="n">
        <v>0</v>
      </c>
      <c r="H52" s="23" t="n">
        <v>0</v>
      </c>
      <c r="I52" s="24" t="n">
        <v>-0.082</v>
      </c>
      <c r="J52" s="24" t="n">
        <v>-0.082</v>
      </c>
      <c r="K52" s="24" t="n">
        <v>-0.082</v>
      </c>
      <c r="L52" s="24" t="n">
        <v>-0.082</v>
      </c>
      <c r="M52" s="24" t="n">
        <v>-0.082</v>
      </c>
    </row>
    <row r="53">
      <c r="A53" s="22" t="inlineStr">
        <is>
          <t>실적 구간 표시</t>
        </is>
      </c>
      <c r="B53" s="2" t="inlineStr">
        <is>
          <t>hist</t>
        </is>
      </c>
      <c r="C53" s="2" t="inlineStr"/>
      <c r="D53" s="19" t="n">
        <v>1</v>
      </c>
      <c r="E53" s="19" t="n">
        <v>1</v>
      </c>
      <c r="F53" s="19" t="n">
        <v>1</v>
      </c>
      <c r="G53" s="19" t="n">
        <v>1</v>
      </c>
      <c r="H53" s="19" t="n">
        <v>1</v>
      </c>
      <c r="I53" s="20" t="n">
        <v>0</v>
      </c>
      <c r="J53" s="20" t="n">
        <v>0</v>
      </c>
      <c r="K53" s="20" t="n">
        <v>0</v>
      </c>
      <c r="L53" s="20" t="n">
        <v>0</v>
      </c>
      <c r="M53" s="20" t="n">
        <v>0</v>
      </c>
    </row>
    <row r="54">
      <c r="A54" s="15" t="inlineStr">
        <is>
          <t>순차입금 (음수 = 순현금)</t>
        </is>
      </c>
      <c r="B54" s="2" t="inlineStr">
        <is>
          <t>net_debt</t>
        </is>
      </c>
      <c r="C54" s="2" t="inlineStr">
        <is>
          <t>억원</t>
        </is>
      </c>
      <c r="D54" s="19" t="n">
        <v>-1023482.52</v>
      </c>
      <c r="E54" s="19" t="n">
        <v>-1044503.54</v>
      </c>
      <c r="F54" s="19" t="n">
        <v>-790858.73</v>
      </c>
      <c r="G54" s="19" t="n">
        <v>-932847.29</v>
      </c>
      <c r="H54" s="19" t="n">
        <v>-1005822.6</v>
      </c>
      <c r="I54" s="20" t="n">
        <v>-1005822.6</v>
      </c>
      <c r="J54" s="20" t="n">
        <v>-1005822.6</v>
      </c>
      <c r="K54" s="20" t="n">
        <v>-1005822.6</v>
      </c>
      <c r="L54" s="20" t="n">
        <v>-1005822.6</v>
      </c>
      <c r="M54" s="20" t="n">
        <v>-1005822.6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6" customWidth="1" min="3" max="3"/>
    <col width="60" customWidth="1" min="4" max="4"/>
    <col width="60" customWidth="1" min="5" max="5"/>
  </cols>
  <sheetData>
    <row r="1">
      <c r="A1" s="1" t="inlineStr">
        <is>
          <t>수식 감사</t>
        </is>
      </c>
    </row>
    <row r="2">
      <c r="A2" s="2" t="inlineStr">
        <is>
          <t>모델 원식 ↔ Excel 셀 수식 대조. 변환은 엔진의 astToExcel이 담당한다.</t>
        </is>
      </c>
    </row>
    <row r="4">
      <c r="A4" s="3" t="inlineStr">
        <is>
          <t>노드 id</t>
        </is>
      </c>
      <c r="B4" s="3" t="inlineStr">
        <is>
          <t>계정</t>
        </is>
      </c>
      <c r="C4" s="3" t="inlineStr">
        <is>
          <t>행</t>
        </is>
      </c>
      <c r="D4" s="3" t="inlineStr">
        <is>
          <t>모델 원식</t>
        </is>
      </c>
      <c r="E4" s="3" t="inlineStr">
        <is>
          <t>첫 추정연도 셀 수식</t>
        </is>
      </c>
    </row>
    <row r="5">
      <c r="A5" s="2" t="inlineStr">
        <is>
          <t>root</t>
        </is>
      </c>
      <c r="B5" s="5" t="inlineStr">
        <is>
          <t>적정 시가총액</t>
        </is>
      </c>
      <c r="C5" s="2" t="n">
        <v>5</v>
      </c>
      <c r="D5" s="28" t="inlineStr">
        <is>
          <t>ev_value - net_debt</t>
        </is>
      </c>
      <c r="E5" s="11" t="inlineStr">
        <is>
          <t>'=(I6-I54)</t>
        </is>
      </c>
    </row>
    <row r="6">
      <c r="A6" s="2" t="inlineStr">
        <is>
          <t>ev_value</t>
        </is>
      </c>
      <c r="B6" s="5" t="inlineStr">
        <is>
          <t>사업가치 (EV)</t>
        </is>
      </c>
      <c r="C6" s="2" t="n">
        <v>6</v>
      </c>
      <c r="D6" s="28" t="inlineStr">
        <is>
          <t>ebitda * target_ev_ebitda</t>
        </is>
      </c>
      <c r="E6" s="11" t="inlineStr">
        <is>
          <t>'=(I8*I7)</t>
        </is>
      </c>
    </row>
    <row r="7">
      <c r="A7" s="2" t="inlineStr">
        <is>
          <t>ebitda</t>
        </is>
      </c>
      <c r="B7" s="5" t="inlineStr">
        <is>
          <t>EBITDA</t>
        </is>
      </c>
      <c r="C7" s="2" t="n">
        <v>8</v>
      </c>
      <c r="D7" s="28" t="inlineStr">
        <is>
          <t>op_profit + da_total</t>
        </is>
      </c>
      <c r="E7" s="11" t="inlineStr">
        <is>
          <t>'=(I12+I9)</t>
        </is>
      </c>
    </row>
    <row r="8">
      <c r="A8" s="2" t="inlineStr">
        <is>
          <t>da_total</t>
        </is>
      </c>
      <c r="B8" s="5" t="inlineStr">
        <is>
          <t>감가·무형상각</t>
        </is>
      </c>
      <c r="C8" s="2" t="n">
        <v>9</v>
      </c>
      <c r="D8" s="28" t="inlineStr">
        <is>
          <t>IF(hist &gt; 0, da_actual, PREV(da_total) * (1 + da_g))</t>
        </is>
      </c>
      <c r="E8" s="11" t="inlineStr">
        <is>
          <t>'=IF((I53&gt;0),I10,(H9*(1+I11)))</t>
        </is>
      </c>
    </row>
    <row r="9">
      <c r="A9" s="2" t="inlineStr">
        <is>
          <t>op_profit</t>
        </is>
      </c>
      <c r="B9" s="5" t="inlineStr">
        <is>
          <t>영업이익</t>
        </is>
      </c>
      <c r="C9" s="2" t="n">
        <v>12</v>
      </c>
      <c r="D9" s="28" t="inlineStr">
        <is>
          <t>dx_op + ds_op + sdc_op + harman_op + op_adj</t>
        </is>
      </c>
      <c r="E9" s="11" t="inlineStr">
        <is>
          <t>'=((((I31+I25)+I37)+I43)+I23)</t>
        </is>
      </c>
    </row>
    <row r="10">
      <c r="A10" s="2" t="inlineStr">
        <is>
          <t>net_income</t>
        </is>
      </c>
      <c r="B10" s="5" t="inlineStr">
        <is>
          <t>지배주주 순이익 (참고)</t>
        </is>
      </c>
      <c r="C10" s="2" t="n">
        <v>13</v>
      </c>
      <c r="D10" s="28" t="inlineStr">
        <is>
          <t>IF(hist &gt; 0, ni_actual, (op_profit + nonop) * (1 - tax_rate) * ctrl_ratio)</t>
        </is>
      </c>
      <c r="E10" s="11" t="inlineStr">
        <is>
          <t>'=IF((I53&gt;0),I14,(((I12+I15)*(1-I16))*I17))</t>
        </is>
      </c>
    </row>
    <row r="11">
      <c r="A11" s="2" t="inlineStr">
        <is>
          <t>eps</t>
        </is>
      </c>
      <c r="B11" s="5" t="inlineStr">
        <is>
          <t>EPS (참고)</t>
        </is>
      </c>
      <c r="C11" s="2" t="n">
        <v>18</v>
      </c>
      <c r="D11" s="28" t="inlineStr">
        <is>
          <t>net_income / shares * 100</t>
        </is>
      </c>
      <c r="E11" s="11" t="inlineStr">
        <is>
          <t>'=((I13/I19)*100)</t>
        </is>
      </c>
    </row>
    <row r="12">
      <c r="A12" s="2" t="inlineStr">
        <is>
          <t>dps</t>
        </is>
      </c>
      <c r="B12" s="5" t="inlineStr">
        <is>
          <t>DPS (참고)</t>
        </is>
      </c>
      <c r="C12" s="2" t="n">
        <v>20</v>
      </c>
      <c r="D12" s="28" t="inlineStr">
        <is>
          <t>IF(hist &gt; 0, dps_a, eps * payout)</t>
        </is>
      </c>
      <c r="E12" s="11" t="inlineStr">
        <is>
          <t>'=IF((I53&gt;0),I21,(I18*I22))</t>
        </is>
      </c>
    </row>
    <row r="13">
      <c r="A13" s="2" t="inlineStr">
        <is>
          <t>op_adj</t>
        </is>
      </c>
      <c r="B13" s="5" t="inlineStr">
        <is>
          <t>영업이익 조정</t>
        </is>
      </c>
      <c r="C13" s="2" t="n">
        <v>23</v>
      </c>
      <c r="D13" s="28" t="inlineStr">
        <is>
          <t>IF(hist &gt; 0, op_adj_a, 0)</t>
        </is>
      </c>
      <c r="E13" s="11" t="inlineStr">
        <is>
          <t>'=IF((I53&gt;0),I24,0)</t>
        </is>
      </c>
    </row>
    <row r="14">
      <c r="A14" s="2" t="inlineStr">
        <is>
          <t>ds_op</t>
        </is>
      </c>
      <c r="B14" s="5" t="inlineStr">
        <is>
          <t>DS 영업이익</t>
        </is>
      </c>
      <c r="C14" s="2" t="n">
        <v>25</v>
      </c>
      <c r="D14" s="28" t="inlineStr">
        <is>
          <t>IF(hist &gt; 0, ds_op_a, ds_rev * ds_opm)</t>
        </is>
      </c>
      <c r="E14" s="11" t="inlineStr">
        <is>
          <t>'=IF((I53&gt;0),I26,(I28*I27))</t>
        </is>
      </c>
    </row>
    <row r="15">
      <c r="A15" s="2" t="inlineStr">
        <is>
          <t>ds_rev</t>
        </is>
      </c>
      <c r="B15" s="5" t="inlineStr">
        <is>
          <t>DS 매출</t>
        </is>
      </c>
      <c r="C15" s="2" t="n">
        <v>28</v>
      </c>
      <c r="D15" s="28" t="inlineStr">
        <is>
          <t>IF(hist &gt; 0, ds_rev_a, PREV(ds_rev) * (1 + ds_g))</t>
        </is>
      </c>
      <c r="E15" s="11" t="inlineStr">
        <is>
          <t>'=IF((I53&gt;0),I29,(H28*(1+I30)))</t>
        </is>
      </c>
    </row>
    <row r="16">
      <c r="A16" s="2" t="inlineStr">
        <is>
          <t>dx_op</t>
        </is>
      </c>
      <c r="B16" s="5" t="inlineStr">
        <is>
          <t>DX 영업이익</t>
        </is>
      </c>
      <c r="C16" s="2" t="n">
        <v>31</v>
      </c>
      <c r="D16" s="28" t="inlineStr">
        <is>
          <t>IF(hist &gt; 0, dx_op_a, dx_rev * dx_opm)</t>
        </is>
      </c>
      <c r="E16" s="11" t="inlineStr">
        <is>
          <t>'=IF((I53&gt;0),I32,(I34*I33))</t>
        </is>
      </c>
    </row>
    <row r="17">
      <c r="A17" s="2" t="inlineStr">
        <is>
          <t>dx_rev</t>
        </is>
      </c>
      <c r="B17" s="5" t="inlineStr">
        <is>
          <t>DX 매출</t>
        </is>
      </c>
      <c r="C17" s="2" t="n">
        <v>34</v>
      </c>
      <c r="D17" s="28" t="inlineStr">
        <is>
          <t>IF(hist &gt; 0, dx_rev_a, PREV(dx_rev) * (1 + dx_g))</t>
        </is>
      </c>
      <c r="E17" s="11" t="inlineStr">
        <is>
          <t>'=IF((I53&gt;0),I35,(H34*(1+I36)))</t>
        </is>
      </c>
    </row>
    <row r="18">
      <c r="A18" s="2" t="inlineStr">
        <is>
          <t>sdc_op</t>
        </is>
      </c>
      <c r="B18" s="5" t="inlineStr">
        <is>
          <t>SDC 영업이익</t>
        </is>
      </c>
      <c r="C18" s="2" t="n">
        <v>37</v>
      </c>
      <c r="D18" s="28" t="inlineStr">
        <is>
          <t>IF(hist &gt; 0, sdc_op_a, sdc_rev * sdc_opm)</t>
        </is>
      </c>
      <c r="E18" s="11" t="inlineStr">
        <is>
          <t>'=IF((I53&gt;0),I38,(I40*I39))</t>
        </is>
      </c>
    </row>
    <row r="19">
      <c r="A19" s="2" t="inlineStr">
        <is>
          <t>sdc_rev</t>
        </is>
      </c>
      <c r="B19" s="5" t="inlineStr">
        <is>
          <t>SDC 매출</t>
        </is>
      </c>
      <c r="C19" s="2" t="n">
        <v>40</v>
      </c>
      <c r="D19" s="28" t="inlineStr">
        <is>
          <t>IF(hist &gt; 0, sdc_rev_a, PREV(sdc_rev) * (1 + sdc_g))</t>
        </is>
      </c>
      <c r="E19" s="11" t="inlineStr">
        <is>
          <t>'=IF((I53&gt;0),I41,(H40*(1+I42)))</t>
        </is>
      </c>
    </row>
    <row r="20">
      <c r="A20" s="2" t="inlineStr">
        <is>
          <t>harman_op</t>
        </is>
      </c>
      <c r="B20" s="5" t="inlineStr">
        <is>
          <t>Harman 영업이익</t>
        </is>
      </c>
      <c r="C20" s="2" t="n">
        <v>43</v>
      </c>
      <c r="D20" s="28" t="inlineStr">
        <is>
          <t>IF(hist &gt; 0, harman_op_a, harman_rev * harman_opm)</t>
        </is>
      </c>
      <c r="E20" s="11" t="inlineStr">
        <is>
          <t>'=IF((I53&gt;0),I44,(I46*I45))</t>
        </is>
      </c>
    </row>
    <row r="21">
      <c r="A21" s="2" t="inlineStr">
        <is>
          <t>harman_rev</t>
        </is>
      </c>
      <c r="B21" s="5" t="inlineStr">
        <is>
          <t>Harman 매출</t>
        </is>
      </c>
      <c r="C21" s="2" t="n">
        <v>46</v>
      </c>
      <c r="D21" s="28" t="inlineStr">
        <is>
          <t>IF(hist &gt; 0, harman_rev_a, PREV(harman_rev) * (1 + harman_g))</t>
        </is>
      </c>
      <c r="E21" s="11" t="inlineStr">
        <is>
          <t>'=IF((I53&gt;0),I47,(H46*(1+I48)))</t>
        </is>
      </c>
    </row>
    <row r="22">
      <c r="A22" s="2" t="inlineStr">
        <is>
          <t>total_revenue</t>
        </is>
      </c>
      <c r="B22" s="5" t="inlineStr">
        <is>
          <t>매출</t>
        </is>
      </c>
      <c r="C22" s="2" t="n">
        <v>49</v>
      </c>
      <c r="D22" s="28" t="inlineStr">
        <is>
          <t>dx_rev + ds_rev + sdc_rev + harman_rev + rev_adj</t>
        </is>
      </c>
      <c r="E22" s="11" t="inlineStr">
        <is>
          <t>'=((((I34+I28)+I40)+I46)+I50)</t>
        </is>
      </c>
    </row>
    <row r="23">
      <c r="A23" s="2" t="inlineStr">
        <is>
          <t>rev_adj</t>
        </is>
      </c>
      <c r="B23" s="5" t="inlineStr">
        <is>
          <t>내부거래 조정</t>
        </is>
      </c>
      <c r="C23" s="2" t="n">
        <v>50</v>
      </c>
      <c r="D23" s="28" t="inlineStr">
        <is>
          <t>IF(hist &gt; 0, rev_adj_a, (dx_rev + ds_rev + sdc_rev + harman_rev) * adj_ratio)</t>
        </is>
      </c>
      <c r="E23" s="11" t="inlineStr">
        <is>
          <t>'=IF((I53&gt;0),I51,((((I34+I28)+I40)+I46)*I52))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7" customWidth="1" min="3" max="3"/>
    <col width="12" customWidth="1" min="4" max="4"/>
    <col width="9" customWidth="1" min="5" max="5"/>
    <col width="7" customWidth="1" min="6" max="6"/>
    <col width="12" customWidth="1" min="7" max="7"/>
  </cols>
  <sheetData>
    <row r="1">
      <c r="A1" s="1" t="inlineStr">
        <is>
          <t>트리 구조</t>
        </is>
      </c>
    </row>
    <row r="3">
      <c r="A3" s="3" t="inlineStr">
        <is>
          <t>노드 id</t>
        </is>
      </c>
      <c r="B3" s="3" t="inlineStr">
        <is>
          <t>계정</t>
        </is>
      </c>
      <c r="C3" s="3" t="inlineStr">
        <is>
          <t>깊이</t>
        </is>
      </c>
      <c r="D3" s="3" t="inlineStr">
        <is>
          <t>유형</t>
        </is>
      </c>
      <c r="E3" s="3" t="inlineStr">
        <is>
          <t>합계형</t>
        </is>
      </c>
      <c r="F3" s="3" t="inlineStr">
        <is>
          <t>행</t>
        </is>
      </c>
      <c r="G3" s="3" t="inlineStr">
        <is>
          <t>단위</t>
        </is>
      </c>
    </row>
    <row r="4">
      <c r="A4" s="2" t="inlineStr">
        <is>
          <t>root</t>
        </is>
      </c>
      <c r="B4" t="inlineStr">
        <is>
          <t>적정 시가총액</t>
        </is>
      </c>
      <c r="C4" t="n">
        <v>0</v>
      </c>
      <c r="D4" t="inlineStr">
        <is>
          <t>computed</t>
        </is>
      </c>
      <c r="E4" t="inlineStr"/>
      <c r="F4" t="n">
        <v>5</v>
      </c>
      <c r="G4" t="inlineStr">
        <is>
          <t>억원</t>
        </is>
      </c>
    </row>
    <row r="5">
      <c r="A5" s="2" t="inlineStr">
        <is>
          <t>ev_value</t>
        </is>
      </c>
      <c r="B5" s="29" t="inlineStr">
        <is>
          <t>사업가치 (EV)</t>
        </is>
      </c>
      <c r="C5" t="n">
        <v>1</v>
      </c>
      <c r="D5" t="inlineStr">
        <is>
          <t>computed</t>
        </is>
      </c>
      <c r="E5" t="inlineStr"/>
      <c r="F5" t="n">
        <v>6</v>
      </c>
      <c r="G5" t="inlineStr">
        <is>
          <t>억원</t>
        </is>
      </c>
    </row>
    <row r="6">
      <c r="A6" s="2" t="inlineStr">
        <is>
          <t>target_ev_ebitda</t>
        </is>
      </c>
      <c r="B6" s="30" t="inlineStr">
        <is>
          <t>목표 EV/EBITDA</t>
        </is>
      </c>
      <c r="C6" t="n">
        <v>2</v>
      </c>
      <c r="D6" t="inlineStr">
        <is>
          <t>input</t>
        </is>
      </c>
      <c r="E6" t="inlineStr"/>
      <c r="F6" t="n">
        <v>7</v>
      </c>
      <c r="G6" t="inlineStr">
        <is>
          <t>배</t>
        </is>
      </c>
    </row>
    <row r="7">
      <c r="A7" s="2" t="inlineStr">
        <is>
          <t>ebitda</t>
        </is>
      </c>
      <c r="B7" s="30" t="inlineStr">
        <is>
          <t>EBITDA</t>
        </is>
      </c>
      <c r="C7" t="n">
        <v>2</v>
      </c>
      <c r="D7" t="inlineStr">
        <is>
          <t>computed</t>
        </is>
      </c>
      <c r="E7" t="inlineStr">
        <is>
          <t>Y</t>
        </is>
      </c>
      <c r="F7" t="n">
        <v>8</v>
      </c>
      <c r="G7" t="inlineStr">
        <is>
          <t>억원</t>
        </is>
      </c>
    </row>
    <row r="8">
      <c r="A8" s="2" t="inlineStr">
        <is>
          <t>da_total</t>
        </is>
      </c>
      <c r="B8" s="31" t="inlineStr">
        <is>
          <t>감가·무형상각</t>
        </is>
      </c>
      <c r="C8" t="n">
        <v>3</v>
      </c>
      <c r="D8" t="inlineStr">
        <is>
          <t>computed</t>
        </is>
      </c>
      <c r="E8" t="inlineStr"/>
      <c r="F8" t="n">
        <v>9</v>
      </c>
      <c r="G8" t="inlineStr">
        <is>
          <t>억원</t>
        </is>
      </c>
    </row>
    <row r="9">
      <c r="A9" s="2" t="inlineStr">
        <is>
          <t>da_actual</t>
        </is>
      </c>
      <c r="B9" s="32" t="inlineStr">
        <is>
          <t>D&amp;A 실적</t>
        </is>
      </c>
      <c r="C9" t="n">
        <v>4</v>
      </c>
      <c r="D9" t="inlineStr">
        <is>
          <t>input</t>
        </is>
      </c>
      <c r="E9" t="inlineStr"/>
      <c r="F9" t="n">
        <v>10</v>
      </c>
      <c r="G9" t="inlineStr">
        <is>
          <t>억원</t>
        </is>
      </c>
    </row>
    <row r="10">
      <c r="A10" s="2" t="inlineStr">
        <is>
          <t>da_g</t>
        </is>
      </c>
      <c r="B10" s="32" t="inlineStr">
        <is>
          <t>D&amp;A 증가율</t>
        </is>
      </c>
      <c r="C10" t="n">
        <v>4</v>
      </c>
      <c r="D10" t="inlineStr">
        <is>
          <t>input</t>
        </is>
      </c>
      <c r="E10" t="inlineStr"/>
      <c r="F10" t="n">
        <v>11</v>
      </c>
      <c r="G10" t="inlineStr">
        <is>
          <t>%</t>
        </is>
      </c>
    </row>
    <row r="11">
      <c r="A11" s="2" t="inlineStr">
        <is>
          <t>op_profit</t>
        </is>
      </c>
      <c r="B11" s="31" t="inlineStr">
        <is>
          <t>영업이익</t>
        </is>
      </c>
      <c r="C11" t="n">
        <v>3</v>
      </c>
      <c r="D11" t="inlineStr">
        <is>
          <t>computed</t>
        </is>
      </c>
      <c r="E11" t="inlineStr"/>
      <c r="F11" t="n">
        <v>12</v>
      </c>
      <c r="G11" t="inlineStr">
        <is>
          <t>억원</t>
        </is>
      </c>
    </row>
    <row r="12">
      <c r="A12" s="2" t="inlineStr">
        <is>
          <t>net_income</t>
        </is>
      </c>
      <c r="B12" s="32" t="inlineStr">
        <is>
          <t>지배주주 순이익 (참고)</t>
        </is>
      </c>
      <c r="C12" t="n">
        <v>4</v>
      </c>
      <c r="D12" t="inlineStr">
        <is>
          <t>computed</t>
        </is>
      </c>
      <c r="E12" t="inlineStr"/>
      <c r="F12" t="n">
        <v>13</v>
      </c>
      <c r="G12" t="inlineStr">
        <is>
          <t>억원</t>
        </is>
      </c>
    </row>
    <row r="13">
      <c r="A13" s="2" t="inlineStr">
        <is>
          <t>ni_actual</t>
        </is>
      </c>
      <c r="B13" s="33" t="inlineStr">
        <is>
          <t>순이익 실적</t>
        </is>
      </c>
      <c r="C13" t="n">
        <v>5</v>
      </c>
      <c r="D13" t="inlineStr">
        <is>
          <t>input</t>
        </is>
      </c>
      <c r="E13" t="inlineStr"/>
      <c r="F13" t="n">
        <v>14</v>
      </c>
      <c r="G13" t="inlineStr">
        <is>
          <t>억원</t>
        </is>
      </c>
    </row>
    <row r="14">
      <c r="A14" s="2" t="inlineStr">
        <is>
          <t>nonop</t>
        </is>
      </c>
      <c r="B14" s="33" t="inlineStr">
        <is>
          <t>영업외손익</t>
        </is>
      </c>
      <c r="C14" t="n">
        <v>5</v>
      </c>
      <c r="D14" t="inlineStr">
        <is>
          <t>input</t>
        </is>
      </c>
      <c r="E14" t="inlineStr"/>
      <c r="F14" t="n">
        <v>15</v>
      </c>
      <c r="G14" t="inlineStr">
        <is>
          <t>억원</t>
        </is>
      </c>
    </row>
    <row r="15">
      <c r="A15" s="2" t="inlineStr">
        <is>
          <t>tax_rate</t>
        </is>
      </c>
      <c r="B15" s="33" t="inlineStr">
        <is>
          <t>실효세율</t>
        </is>
      </c>
      <c r="C15" t="n">
        <v>5</v>
      </c>
      <c r="D15" t="inlineStr">
        <is>
          <t>input</t>
        </is>
      </c>
      <c r="E15" t="inlineStr"/>
      <c r="F15" t="n">
        <v>16</v>
      </c>
      <c r="G15" t="inlineStr">
        <is>
          <t>%</t>
        </is>
      </c>
    </row>
    <row r="16">
      <c r="A16" s="2" t="inlineStr">
        <is>
          <t>ctrl_ratio</t>
        </is>
      </c>
      <c r="B16" s="33" t="inlineStr">
        <is>
          <t>지배지분 비율</t>
        </is>
      </c>
      <c r="C16" t="n">
        <v>5</v>
      </c>
      <c r="D16" t="inlineStr">
        <is>
          <t>input</t>
        </is>
      </c>
      <c r="E16" t="inlineStr"/>
      <c r="F16" t="n">
        <v>17</v>
      </c>
      <c r="G16" t="inlineStr">
        <is>
          <t>%</t>
        </is>
      </c>
    </row>
    <row r="17">
      <c r="A17" s="2" t="inlineStr">
        <is>
          <t>eps</t>
        </is>
      </c>
      <c r="B17" s="33" t="inlineStr">
        <is>
          <t>EPS (참고)</t>
        </is>
      </c>
      <c r="C17" t="n">
        <v>5</v>
      </c>
      <c r="D17" t="inlineStr">
        <is>
          <t>computed</t>
        </is>
      </c>
      <c r="E17" t="inlineStr"/>
      <c r="F17" t="n">
        <v>18</v>
      </c>
      <c r="G17" t="inlineStr">
        <is>
          <t>원</t>
        </is>
      </c>
    </row>
    <row r="18">
      <c r="A18" s="2" t="inlineStr">
        <is>
          <t>shares</t>
        </is>
      </c>
      <c r="B18" s="34" t="inlineStr">
        <is>
          <t>상장주식수</t>
        </is>
      </c>
      <c r="C18" t="n">
        <v>6</v>
      </c>
      <c r="D18" t="inlineStr">
        <is>
          <t>input</t>
        </is>
      </c>
      <c r="E18" t="inlineStr"/>
      <c r="F18" t="n">
        <v>19</v>
      </c>
      <c r="G18" t="inlineStr">
        <is>
          <t>백만주</t>
        </is>
      </c>
    </row>
    <row r="19">
      <c r="A19" s="2" t="inlineStr">
        <is>
          <t>dps</t>
        </is>
      </c>
      <c r="B19" s="34" t="inlineStr">
        <is>
          <t>DPS (참고)</t>
        </is>
      </c>
      <c r="C19" t="n">
        <v>6</v>
      </c>
      <c r="D19" t="inlineStr">
        <is>
          <t>computed</t>
        </is>
      </c>
      <c r="E19" t="inlineStr"/>
      <c r="F19" t="n">
        <v>20</v>
      </c>
      <c r="G19" t="inlineStr">
        <is>
          <t>원</t>
        </is>
      </c>
    </row>
    <row r="20">
      <c r="A20" s="2" t="inlineStr">
        <is>
          <t>dps_a</t>
        </is>
      </c>
      <c r="B20" s="35" t="inlineStr">
        <is>
          <t>DPS 실적</t>
        </is>
      </c>
      <c r="C20" t="n">
        <v>7</v>
      </c>
      <c r="D20" t="inlineStr">
        <is>
          <t>input</t>
        </is>
      </c>
      <c r="E20" t="inlineStr"/>
      <c r="F20" t="n">
        <v>21</v>
      </c>
      <c r="G20" t="inlineStr">
        <is>
          <t>원</t>
        </is>
      </c>
    </row>
    <row r="21">
      <c r="A21" s="2" t="inlineStr">
        <is>
          <t>payout</t>
        </is>
      </c>
      <c r="B21" s="35" t="inlineStr">
        <is>
          <t>배당성향</t>
        </is>
      </c>
      <c r="C21" t="n">
        <v>7</v>
      </c>
      <c r="D21" t="inlineStr">
        <is>
          <t>input</t>
        </is>
      </c>
      <c r="E21" t="inlineStr"/>
      <c r="F21" t="n">
        <v>22</v>
      </c>
      <c r="G21" t="inlineStr">
        <is>
          <t>%</t>
        </is>
      </c>
    </row>
    <row r="22">
      <c r="A22" s="2" t="inlineStr">
        <is>
          <t>op_adj</t>
        </is>
      </c>
      <c r="B22" s="32" t="inlineStr">
        <is>
          <t>영업이익 조정</t>
        </is>
      </c>
      <c r="C22" t="n">
        <v>4</v>
      </c>
      <c r="D22" t="inlineStr">
        <is>
          <t>computed</t>
        </is>
      </c>
      <c r="E22" t="inlineStr"/>
      <c r="F22" t="n">
        <v>23</v>
      </c>
      <c r="G22" t="inlineStr">
        <is>
          <t>억원</t>
        </is>
      </c>
    </row>
    <row r="23">
      <c r="A23" s="2" t="inlineStr">
        <is>
          <t>op_adj_a</t>
        </is>
      </c>
      <c r="B23" s="33" t="inlineStr">
        <is>
          <t>영업이익 조정 실적</t>
        </is>
      </c>
      <c r="C23" t="n">
        <v>5</v>
      </c>
      <c r="D23" t="inlineStr">
        <is>
          <t>input</t>
        </is>
      </c>
      <c r="E23" t="inlineStr"/>
      <c r="F23" t="n">
        <v>24</v>
      </c>
      <c r="G23" t="inlineStr">
        <is>
          <t>억원</t>
        </is>
      </c>
    </row>
    <row r="24">
      <c r="A24" s="2" t="inlineStr">
        <is>
          <t>ds_op</t>
        </is>
      </c>
      <c r="B24" s="32" t="inlineStr">
        <is>
          <t>DS 영업이익</t>
        </is>
      </c>
      <c r="C24" t="n">
        <v>4</v>
      </c>
      <c r="D24" t="inlineStr">
        <is>
          <t>computed</t>
        </is>
      </c>
      <c r="E24" t="inlineStr"/>
      <c r="F24" t="n">
        <v>25</v>
      </c>
      <c r="G24" t="inlineStr">
        <is>
          <t>억원</t>
        </is>
      </c>
    </row>
    <row r="25">
      <c r="A25" s="2" t="inlineStr">
        <is>
          <t>ds_op_a</t>
        </is>
      </c>
      <c r="B25" s="33" t="inlineStr">
        <is>
          <t>DS 영업이익 실적</t>
        </is>
      </c>
      <c r="C25" t="n">
        <v>5</v>
      </c>
      <c r="D25" t="inlineStr">
        <is>
          <t>input</t>
        </is>
      </c>
      <c r="E25" t="inlineStr"/>
      <c r="F25" t="n">
        <v>26</v>
      </c>
      <c r="G25" t="inlineStr">
        <is>
          <t>억원</t>
        </is>
      </c>
    </row>
    <row r="26">
      <c r="A26" s="2" t="inlineStr">
        <is>
          <t>ds_opm</t>
        </is>
      </c>
      <c r="B26" s="33" t="inlineStr">
        <is>
          <t>DS 영업이익률</t>
        </is>
      </c>
      <c r="C26" t="n">
        <v>5</v>
      </c>
      <c r="D26" t="inlineStr">
        <is>
          <t>input</t>
        </is>
      </c>
      <c r="E26" t="inlineStr"/>
      <c r="F26" t="n">
        <v>27</v>
      </c>
      <c r="G26" t="inlineStr">
        <is>
          <t>%</t>
        </is>
      </c>
    </row>
    <row r="27">
      <c r="A27" s="2" t="inlineStr">
        <is>
          <t>ds_rev</t>
        </is>
      </c>
      <c r="B27" s="33" t="inlineStr">
        <is>
          <t>DS 매출</t>
        </is>
      </c>
      <c r="C27" t="n">
        <v>5</v>
      </c>
      <c r="D27" t="inlineStr">
        <is>
          <t>computed</t>
        </is>
      </c>
      <c r="E27" t="inlineStr"/>
      <c r="F27" t="n">
        <v>28</v>
      </c>
      <c r="G27" t="inlineStr">
        <is>
          <t>억원</t>
        </is>
      </c>
    </row>
    <row r="28">
      <c r="A28" s="2" t="inlineStr">
        <is>
          <t>ds_rev_a</t>
        </is>
      </c>
      <c r="B28" s="34" t="inlineStr">
        <is>
          <t>DS 매출 실적</t>
        </is>
      </c>
      <c r="C28" t="n">
        <v>6</v>
      </c>
      <c r="D28" t="inlineStr">
        <is>
          <t>input</t>
        </is>
      </c>
      <c r="E28" t="inlineStr"/>
      <c r="F28" t="n">
        <v>29</v>
      </c>
      <c r="G28" t="inlineStr">
        <is>
          <t>억원</t>
        </is>
      </c>
    </row>
    <row r="29">
      <c r="A29" s="2" t="inlineStr">
        <is>
          <t>ds_g</t>
        </is>
      </c>
      <c r="B29" s="34" t="inlineStr">
        <is>
          <t>DS 매출 성장률</t>
        </is>
      </c>
      <c r="C29" t="n">
        <v>6</v>
      </c>
      <c r="D29" t="inlineStr">
        <is>
          <t>input</t>
        </is>
      </c>
      <c r="E29" t="inlineStr"/>
      <c r="F29" t="n">
        <v>30</v>
      </c>
      <c r="G29" t="inlineStr">
        <is>
          <t>%</t>
        </is>
      </c>
    </row>
    <row r="30">
      <c r="A30" s="2" t="inlineStr">
        <is>
          <t>dx_op</t>
        </is>
      </c>
      <c r="B30" s="32" t="inlineStr">
        <is>
          <t>DX 영업이익</t>
        </is>
      </c>
      <c r="C30" t="n">
        <v>4</v>
      </c>
      <c r="D30" t="inlineStr">
        <is>
          <t>computed</t>
        </is>
      </c>
      <c r="E30" t="inlineStr"/>
      <c r="F30" t="n">
        <v>31</v>
      </c>
      <c r="G30" t="inlineStr">
        <is>
          <t>억원</t>
        </is>
      </c>
    </row>
    <row r="31">
      <c r="A31" s="2" t="inlineStr">
        <is>
          <t>dx_op_a</t>
        </is>
      </c>
      <c r="B31" s="33" t="inlineStr">
        <is>
          <t>DX 영업이익 실적</t>
        </is>
      </c>
      <c r="C31" t="n">
        <v>5</v>
      </c>
      <c r="D31" t="inlineStr">
        <is>
          <t>input</t>
        </is>
      </c>
      <c r="E31" t="inlineStr"/>
      <c r="F31" t="n">
        <v>32</v>
      </c>
      <c r="G31" t="inlineStr">
        <is>
          <t>억원</t>
        </is>
      </c>
    </row>
    <row r="32">
      <c r="A32" s="2" t="inlineStr">
        <is>
          <t>dx_opm</t>
        </is>
      </c>
      <c r="B32" s="33" t="inlineStr">
        <is>
          <t>DX 영업이익률</t>
        </is>
      </c>
      <c r="C32" t="n">
        <v>5</v>
      </c>
      <c r="D32" t="inlineStr">
        <is>
          <t>input</t>
        </is>
      </c>
      <c r="E32" t="inlineStr"/>
      <c r="F32" t="n">
        <v>33</v>
      </c>
      <c r="G32" t="inlineStr">
        <is>
          <t>%</t>
        </is>
      </c>
    </row>
    <row r="33">
      <c r="A33" s="2" t="inlineStr">
        <is>
          <t>dx_rev</t>
        </is>
      </c>
      <c r="B33" s="33" t="inlineStr">
        <is>
          <t>DX 매출</t>
        </is>
      </c>
      <c r="C33" t="n">
        <v>5</v>
      </c>
      <c r="D33" t="inlineStr">
        <is>
          <t>computed</t>
        </is>
      </c>
      <c r="E33" t="inlineStr"/>
      <c r="F33" t="n">
        <v>34</v>
      </c>
      <c r="G33" t="inlineStr">
        <is>
          <t>억원</t>
        </is>
      </c>
    </row>
    <row r="34">
      <c r="A34" s="2" t="inlineStr">
        <is>
          <t>dx_rev_a</t>
        </is>
      </c>
      <c r="B34" s="34" t="inlineStr">
        <is>
          <t>DX 매출 실적</t>
        </is>
      </c>
      <c r="C34" t="n">
        <v>6</v>
      </c>
      <c r="D34" t="inlineStr">
        <is>
          <t>input</t>
        </is>
      </c>
      <c r="E34" t="inlineStr"/>
      <c r="F34" t="n">
        <v>35</v>
      </c>
      <c r="G34" t="inlineStr">
        <is>
          <t>억원</t>
        </is>
      </c>
    </row>
    <row r="35">
      <c r="A35" s="2" t="inlineStr">
        <is>
          <t>dx_g</t>
        </is>
      </c>
      <c r="B35" s="34" t="inlineStr">
        <is>
          <t>DX 매출 성장률</t>
        </is>
      </c>
      <c r="C35" t="n">
        <v>6</v>
      </c>
      <c r="D35" t="inlineStr">
        <is>
          <t>input</t>
        </is>
      </c>
      <c r="E35" t="inlineStr"/>
      <c r="F35" t="n">
        <v>36</v>
      </c>
      <c r="G35" t="inlineStr">
        <is>
          <t>%</t>
        </is>
      </c>
    </row>
    <row r="36">
      <c r="A36" s="2" t="inlineStr">
        <is>
          <t>sdc_op</t>
        </is>
      </c>
      <c r="B36" s="32" t="inlineStr">
        <is>
          <t>SDC 영업이익</t>
        </is>
      </c>
      <c r="C36" t="n">
        <v>4</v>
      </c>
      <c r="D36" t="inlineStr">
        <is>
          <t>computed</t>
        </is>
      </c>
      <c r="E36" t="inlineStr"/>
      <c r="F36" t="n">
        <v>37</v>
      </c>
      <c r="G36" t="inlineStr">
        <is>
          <t>억원</t>
        </is>
      </c>
    </row>
    <row r="37">
      <c r="A37" s="2" t="inlineStr">
        <is>
          <t>sdc_op_a</t>
        </is>
      </c>
      <c r="B37" s="33" t="inlineStr">
        <is>
          <t>SDC 영업이익 실적</t>
        </is>
      </c>
      <c r="C37" t="n">
        <v>5</v>
      </c>
      <c r="D37" t="inlineStr">
        <is>
          <t>input</t>
        </is>
      </c>
      <c r="E37" t="inlineStr"/>
      <c r="F37" t="n">
        <v>38</v>
      </c>
      <c r="G37" t="inlineStr">
        <is>
          <t>억원</t>
        </is>
      </c>
    </row>
    <row r="38">
      <c r="A38" s="2" t="inlineStr">
        <is>
          <t>sdc_opm</t>
        </is>
      </c>
      <c r="B38" s="33" t="inlineStr">
        <is>
          <t>SDC 영업이익률</t>
        </is>
      </c>
      <c r="C38" t="n">
        <v>5</v>
      </c>
      <c r="D38" t="inlineStr">
        <is>
          <t>input</t>
        </is>
      </c>
      <c r="E38" t="inlineStr"/>
      <c r="F38" t="n">
        <v>39</v>
      </c>
      <c r="G38" t="inlineStr">
        <is>
          <t>%</t>
        </is>
      </c>
    </row>
    <row r="39">
      <c r="A39" s="2" t="inlineStr">
        <is>
          <t>sdc_rev</t>
        </is>
      </c>
      <c r="B39" s="33" t="inlineStr">
        <is>
          <t>SDC 매출</t>
        </is>
      </c>
      <c r="C39" t="n">
        <v>5</v>
      </c>
      <c r="D39" t="inlineStr">
        <is>
          <t>computed</t>
        </is>
      </c>
      <c r="E39" t="inlineStr"/>
      <c r="F39" t="n">
        <v>40</v>
      </c>
      <c r="G39" t="inlineStr">
        <is>
          <t>억원</t>
        </is>
      </c>
    </row>
    <row r="40">
      <c r="A40" s="2" t="inlineStr">
        <is>
          <t>sdc_rev_a</t>
        </is>
      </c>
      <c r="B40" s="34" t="inlineStr">
        <is>
          <t>SDC 매출 실적</t>
        </is>
      </c>
      <c r="C40" t="n">
        <v>6</v>
      </c>
      <c r="D40" t="inlineStr">
        <is>
          <t>input</t>
        </is>
      </c>
      <c r="E40" t="inlineStr"/>
      <c r="F40" t="n">
        <v>41</v>
      </c>
      <c r="G40" t="inlineStr">
        <is>
          <t>억원</t>
        </is>
      </c>
    </row>
    <row r="41">
      <c r="A41" s="2" t="inlineStr">
        <is>
          <t>sdc_g</t>
        </is>
      </c>
      <c r="B41" s="34" t="inlineStr">
        <is>
          <t>SDC 매출 성장률</t>
        </is>
      </c>
      <c r="C41" t="n">
        <v>6</v>
      </c>
      <c r="D41" t="inlineStr">
        <is>
          <t>input</t>
        </is>
      </c>
      <c r="E41" t="inlineStr"/>
      <c r="F41" t="n">
        <v>42</v>
      </c>
      <c r="G41" t="inlineStr">
        <is>
          <t>%</t>
        </is>
      </c>
    </row>
    <row r="42">
      <c r="A42" s="2" t="inlineStr">
        <is>
          <t>harman_op</t>
        </is>
      </c>
      <c r="B42" s="32" t="inlineStr">
        <is>
          <t>Harman 영업이익</t>
        </is>
      </c>
      <c r="C42" t="n">
        <v>4</v>
      </c>
      <c r="D42" t="inlineStr">
        <is>
          <t>computed</t>
        </is>
      </c>
      <c r="E42" t="inlineStr"/>
      <c r="F42" t="n">
        <v>43</v>
      </c>
      <c r="G42" t="inlineStr">
        <is>
          <t>억원</t>
        </is>
      </c>
    </row>
    <row r="43">
      <c r="A43" s="2" t="inlineStr">
        <is>
          <t>harman_op_a</t>
        </is>
      </c>
      <c r="B43" s="33" t="inlineStr">
        <is>
          <t>Harman 영업이익 실적</t>
        </is>
      </c>
      <c r="C43" t="n">
        <v>5</v>
      </c>
      <c r="D43" t="inlineStr">
        <is>
          <t>input</t>
        </is>
      </c>
      <c r="E43" t="inlineStr"/>
      <c r="F43" t="n">
        <v>44</v>
      </c>
      <c r="G43" t="inlineStr">
        <is>
          <t>억원</t>
        </is>
      </c>
    </row>
    <row r="44">
      <c r="A44" s="2" t="inlineStr">
        <is>
          <t>harman_opm</t>
        </is>
      </c>
      <c r="B44" s="33" t="inlineStr">
        <is>
          <t>Harman 영업이익률</t>
        </is>
      </c>
      <c r="C44" t="n">
        <v>5</v>
      </c>
      <c r="D44" t="inlineStr">
        <is>
          <t>input</t>
        </is>
      </c>
      <c r="E44" t="inlineStr"/>
      <c r="F44" t="n">
        <v>45</v>
      </c>
      <c r="G44" t="inlineStr">
        <is>
          <t>%</t>
        </is>
      </c>
    </row>
    <row r="45">
      <c r="A45" s="2" t="inlineStr">
        <is>
          <t>harman_rev</t>
        </is>
      </c>
      <c r="B45" s="33" t="inlineStr">
        <is>
          <t>Harman 매출</t>
        </is>
      </c>
      <c r="C45" t="n">
        <v>5</v>
      </c>
      <c r="D45" t="inlineStr">
        <is>
          <t>computed</t>
        </is>
      </c>
      <c r="E45" t="inlineStr"/>
      <c r="F45" t="n">
        <v>46</v>
      </c>
      <c r="G45" t="inlineStr">
        <is>
          <t>억원</t>
        </is>
      </c>
    </row>
    <row r="46">
      <c r="A46" s="2" t="inlineStr">
        <is>
          <t>harman_rev_a</t>
        </is>
      </c>
      <c r="B46" s="34" t="inlineStr">
        <is>
          <t>Harman 매출 실적</t>
        </is>
      </c>
      <c r="C46" t="n">
        <v>6</v>
      </c>
      <c r="D46" t="inlineStr">
        <is>
          <t>input</t>
        </is>
      </c>
      <c r="E46" t="inlineStr"/>
      <c r="F46" t="n">
        <v>47</v>
      </c>
      <c r="G46" t="inlineStr">
        <is>
          <t>억원</t>
        </is>
      </c>
    </row>
    <row r="47">
      <c r="A47" s="2" t="inlineStr">
        <is>
          <t>harman_g</t>
        </is>
      </c>
      <c r="B47" s="34" t="inlineStr">
        <is>
          <t>Harman 매출 성장률</t>
        </is>
      </c>
      <c r="C47" t="n">
        <v>6</v>
      </c>
      <c r="D47" t="inlineStr">
        <is>
          <t>input</t>
        </is>
      </c>
      <c r="E47" t="inlineStr"/>
      <c r="F47" t="n">
        <v>48</v>
      </c>
      <c r="G47" t="inlineStr">
        <is>
          <t>%</t>
        </is>
      </c>
    </row>
    <row r="48">
      <c r="A48" s="2" t="inlineStr">
        <is>
          <t>total_revenue</t>
        </is>
      </c>
      <c r="B48" s="32" t="inlineStr">
        <is>
          <t>매출</t>
        </is>
      </c>
      <c r="C48" t="n">
        <v>4</v>
      </c>
      <c r="D48" t="inlineStr">
        <is>
          <t>computed</t>
        </is>
      </c>
      <c r="E48" t="inlineStr"/>
      <c r="F48" t="n">
        <v>49</v>
      </c>
      <c r="G48" t="inlineStr">
        <is>
          <t>억원</t>
        </is>
      </c>
    </row>
    <row r="49">
      <c r="A49" s="2" t="inlineStr">
        <is>
          <t>rev_adj</t>
        </is>
      </c>
      <c r="B49" s="33" t="inlineStr">
        <is>
          <t>내부거래 조정</t>
        </is>
      </c>
      <c r="C49" t="n">
        <v>5</v>
      </c>
      <c r="D49" t="inlineStr">
        <is>
          <t>computed</t>
        </is>
      </c>
      <c r="E49" t="inlineStr"/>
      <c r="F49" t="n">
        <v>50</v>
      </c>
      <c r="G49" t="inlineStr">
        <is>
          <t>억원</t>
        </is>
      </c>
    </row>
    <row r="50">
      <c r="A50" s="2" t="inlineStr">
        <is>
          <t>rev_adj_a</t>
        </is>
      </c>
      <c r="B50" s="34" t="inlineStr">
        <is>
          <t>조정 실적</t>
        </is>
      </c>
      <c r="C50" t="n">
        <v>6</v>
      </c>
      <c r="D50" t="inlineStr">
        <is>
          <t>input</t>
        </is>
      </c>
      <c r="E50" t="inlineStr"/>
      <c r="F50" t="n">
        <v>51</v>
      </c>
      <c r="G50" t="inlineStr">
        <is>
          <t>억원</t>
        </is>
      </c>
    </row>
    <row r="51">
      <c r="A51" s="2" t="inlineStr">
        <is>
          <t>adj_ratio</t>
        </is>
      </c>
      <c r="B51" s="34" t="inlineStr">
        <is>
          <t>조정률</t>
        </is>
      </c>
      <c r="C51" t="n">
        <v>6</v>
      </c>
      <c r="D51" t="inlineStr">
        <is>
          <t>input</t>
        </is>
      </c>
      <c r="E51" t="inlineStr"/>
      <c r="F51" t="n">
        <v>52</v>
      </c>
      <c r="G51" t="inlineStr">
        <is>
          <t>%</t>
        </is>
      </c>
    </row>
    <row r="52">
      <c r="A52" s="2" t="inlineStr">
        <is>
          <t>hist</t>
        </is>
      </c>
      <c r="B52" s="32" t="inlineStr">
        <is>
          <t>실적 구간 표시</t>
        </is>
      </c>
      <c r="C52" t="n">
        <v>4</v>
      </c>
      <c r="D52" t="inlineStr">
        <is>
          <t>input</t>
        </is>
      </c>
      <c r="E52" t="inlineStr"/>
      <c r="F52" t="n">
        <v>53</v>
      </c>
      <c r="G52" t="inlineStr"/>
    </row>
    <row r="53">
      <c r="A53" s="2" t="inlineStr">
        <is>
          <t>net_debt</t>
        </is>
      </c>
      <c r="B53" s="29" t="inlineStr">
        <is>
          <t>순차입금 (음수 = 순현금)</t>
        </is>
      </c>
      <c r="C53" t="n">
        <v>1</v>
      </c>
      <c r="D53" t="inlineStr">
        <is>
          <t>input</t>
        </is>
      </c>
      <c r="E53" t="inlineStr"/>
      <c r="F53" t="n">
        <v>54</v>
      </c>
      <c r="G53" t="inlineStr">
        <is>
          <t>억원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검증</t>
        </is>
      </c>
    </row>
    <row r="2">
      <c r="A2" s="2" t="inlineStr">
        <is>
          <t>합계형 노드의 부모값과 자식 합의 차이. 전 칸이 0이어야 한다.</t>
        </is>
      </c>
    </row>
    <row r="3">
      <c r="D3" s="6" t="inlineStr">
        <is>
          <t>실적</t>
        </is>
      </c>
      <c r="E3" s="6" t="inlineStr">
        <is>
          <t>실적</t>
        </is>
      </c>
      <c r="F3" s="6" t="inlineStr">
        <is>
          <t>실적</t>
        </is>
      </c>
      <c r="G3" s="6" t="inlineStr">
        <is>
          <t>실적</t>
        </is>
      </c>
      <c r="H3" s="6" t="inlineStr">
        <is>
          <t>실적</t>
        </is>
      </c>
      <c r="I3" s="7" t="inlineStr">
        <is>
          <t>추정</t>
        </is>
      </c>
      <c r="J3" s="7" t="inlineStr">
        <is>
          <t>추정</t>
        </is>
      </c>
      <c r="K3" s="7" t="inlineStr">
        <is>
          <t>추정</t>
        </is>
      </c>
      <c r="L3" s="7" t="inlineStr">
        <is>
          <t>추정</t>
        </is>
      </c>
      <c r="M3" s="7" t="inlineStr">
        <is>
          <t>추정</t>
        </is>
      </c>
    </row>
    <row r="4">
      <c r="A4" s="3" t="inlineStr">
        <is>
          <t>계정</t>
        </is>
      </c>
      <c r="B4" s="3" t="inlineStr">
        <is>
          <t>검사</t>
        </is>
      </c>
      <c r="D4" s="8" t="inlineStr">
        <is>
          <t>2021A</t>
        </is>
      </c>
      <c r="E4" s="8" t="inlineStr">
        <is>
          <t>2022A</t>
        </is>
      </c>
      <c r="F4" s="8" t="inlineStr">
        <is>
          <t>2023A</t>
        </is>
      </c>
      <c r="G4" s="8" t="inlineStr">
        <is>
          <t>2024A</t>
        </is>
      </c>
      <c r="H4" s="8" t="inlineStr">
        <is>
          <t>2025A</t>
        </is>
      </c>
      <c r="I4" s="8" t="inlineStr">
        <is>
          <t>2026E</t>
        </is>
      </c>
      <c r="J4" s="8" t="inlineStr">
        <is>
          <t>2027E</t>
        </is>
      </c>
      <c r="K4" s="8" t="inlineStr">
        <is>
          <t>2028E</t>
        </is>
      </c>
      <c r="L4" s="8" t="inlineStr">
        <is>
          <t>2029E</t>
        </is>
      </c>
      <c r="M4" s="8" t="inlineStr">
        <is>
          <t>2030E</t>
        </is>
      </c>
    </row>
    <row r="5">
      <c r="A5" s="5" t="inlineStr">
        <is>
          <t>EBITDA</t>
        </is>
      </c>
      <c r="B5" s="2" t="inlineStr">
        <is>
          <t>부모 − 자식합</t>
        </is>
      </c>
      <c r="D5" s="36">
        <f>ROUND(Model!D8-(Model!D9+Model!D12),6)</f>
        <v/>
      </c>
      <c r="E5" s="36">
        <f>ROUND(Model!E8-(Model!E9+Model!E12),6)</f>
        <v/>
      </c>
      <c r="F5" s="36">
        <f>ROUND(Model!F8-(Model!F9+Model!F12),6)</f>
        <v/>
      </c>
      <c r="G5" s="36">
        <f>ROUND(Model!G8-(Model!G9+Model!G12),6)</f>
        <v/>
      </c>
      <c r="H5" s="36">
        <f>ROUND(Model!H8-(Model!H9+Model!H12),6)</f>
        <v/>
      </c>
      <c r="I5" s="36">
        <f>ROUND(Model!I8-(Model!I9+Model!I12),6)</f>
        <v/>
      </c>
      <c r="J5" s="36">
        <f>ROUND(Model!J8-(Model!J9+Model!J12),6)</f>
        <v/>
      </c>
      <c r="K5" s="36">
        <f>ROUND(Model!K8-(Model!K9+Model!K12),6)</f>
        <v/>
      </c>
      <c r="L5" s="36">
        <f>ROUND(Model!L8-(Model!L9+Model!L12),6)</f>
        <v/>
      </c>
      <c r="M5" s="36">
        <f>ROUND(Model!M8-(Model!M9+Model!M12),6)</f>
        <v/>
      </c>
    </row>
    <row r="7">
      <c r="A7" s="4" t="inlineStr">
        <is>
          <t>합계형 노드 수</t>
        </is>
      </c>
      <c r="B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빌드 정보</t>
        </is>
      </c>
    </row>
    <row r="3">
      <c r="A3" s="4" t="inlineStr">
        <is>
          <t>소스</t>
        </is>
      </c>
      <c r="B3" t="inlineStr">
        <is>
          <t>model.html</t>
        </is>
      </c>
    </row>
    <row r="4">
      <c r="A4" s="4" t="inlineStr">
        <is>
          <t>소스 해시 (sha256 앞 16자리)</t>
        </is>
      </c>
      <c r="B4" t="inlineStr">
        <is>
          <t>e61fd84cce1d331a</t>
        </is>
      </c>
    </row>
    <row r="5">
      <c r="A5" s="4" t="inlineStr">
        <is>
          <t>빌더</t>
        </is>
      </c>
      <c r="B5" t="inlineStr">
        <is>
          <t>tools/build_excel.py</t>
        </is>
      </c>
    </row>
    <row r="6">
      <c r="A6" s="4" t="inlineStr">
        <is>
          <t>수식 변환</t>
        </is>
      </c>
      <c r="B6" t="inlineStr">
        <is>
          <t>엔진 astToExcel (JS) — 파이썬은 배치만 한다</t>
        </is>
      </c>
    </row>
    <row r="7">
      <c r="A7" s="4" t="inlineStr">
        <is>
          <t>노드 수</t>
        </is>
      </c>
      <c r="B7" t="n">
        <v>50</v>
      </c>
    </row>
    <row r="8">
      <c r="A8" s="4" t="inlineStr">
        <is>
          <t>입력 노드 수</t>
        </is>
      </c>
      <c r="B8" t="n">
        <v>31</v>
      </c>
    </row>
    <row r="9">
      <c r="A9" s="4" t="inlineStr">
        <is>
          <t>연도 수</t>
        </is>
      </c>
      <c r="B9" t="n">
        <v>10</v>
      </c>
    </row>
    <row r="10">
      <c r="A10" s="4" t="inlineStr">
        <is>
          <t>HIST_N</t>
        </is>
      </c>
      <c r="B10" t="n">
        <v>5</v>
      </c>
    </row>
    <row r="11">
      <c r="A11" s="4" t="inlineStr">
        <is>
          <t>모델 id</t>
        </is>
      </c>
      <c r="B11" t="inlineStr">
        <is>
          <t>sec_supercycle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tools/build_excel.py</dc:creator>
  <dcterms:created xsi:type="dcterms:W3CDTF">2000-01-01T00:00:00Z</dcterms:created>
  <dcterms:modified xsi:type="dcterms:W3CDTF">2000-01-01T00:00:00Z</dcterms:modified>
</cp:coreProperties>
</file>